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KRISHNA DISTRICT\"/>
    </mc:Choice>
  </mc:AlternateContent>
  <xr:revisionPtr revIDLastSave="0" documentId="13_ncr:1_{B73F3249-CF44-4BC4-9941-0E1143592052}" xr6:coauthVersionLast="47" xr6:coauthVersionMax="47" xr10:uidLastSave="{00000000-0000-0000-0000-000000000000}"/>
  <bookViews>
    <workbookView xWindow="-108" yWindow="-108" windowWidth="23256" windowHeight="12456" tabRatio="1000" firstSheet="1" activeTab="11" xr2:uid="{86E37D4F-DFB3-4F42-95E8-D0158FD5959B}"/>
  </bookViews>
  <sheets>
    <sheet name="1_MEDLEAPR_PME" sheetId="2" r:id="rId1"/>
    <sheet name="2_MEDLEAPR_MLC" sheetId="3" r:id="rId2"/>
    <sheet name="3_NATGRID" sheetId="4" r:id="rId3"/>
    <sheet name="4_DGP_DASH" sheetId="5" r:id="rId4"/>
    <sheet name="5_CCTNS_TILL" sheetId="6" r:id="rId5"/>
    <sheet name="6_CCTNS_1_7" sheetId="7" r:id="rId6"/>
    <sheet name="7_CCTNS_8_15" sheetId="8" r:id="rId7"/>
    <sheet name="8_ZERO_FIRS" sheetId="9" r:id="rId8"/>
    <sheet name="9_CITIZEN_PORTAL" sheetId="10" r:id="rId9"/>
    <sheet name="10_ESAKSHYA" sheetId="11" r:id="rId10"/>
    <sheet name="11_CRIMAC" sheetId="12" r:id="rId11"/>
    <sheet name="12_CEIR" sheetId="13" r:id="rId12"/>
    <sheet name="13_EPROSEC" sheetId="14" r:id="rId13"/>
    <sheet name="14_FIR_CS_COURT" sheetId="15" r:id="rId14"/>
    <sheet name="15_EOFFICE" sheetId="16" r:id="rId15"/>
    <sheet name="16_APOLIS" sheetId="17" r:id="rId16"/>
    <sheet name="17_DRONE_FLYING" sheetId="18" r:id="rId17"/>
    <sheet name="18_112_TABS" sheetId="19" r:id="rId18"/>
    <sheet name="19_DIAL100_RES" sheetId="20" r:id="rId19"/>
    <sheet name="20_CCTV_360" sheetId="21" r:id="rId20"/>
    <sheet name="21_NEWS360AI" sheetId="22" r:id="rId21"/>
    <sheet name="22_eFSL" sheetId="23" r:id="rId22"/>
    <sheet name="23_UC3" sheetId="25" r:id="rId23"/>
    <sheet name="23_UC4" sheetId="24" r:id="rId24"/>
    <sheet name="Sheet1" sheetId="26" r:id="rId25"/>
  </sheets>
  <definedNames>
    <definedName name="_xlnm._FilterDatabase" localSheetId="0" hidden="1">'1_MEDLEAPR_PME'!$A$2:$I$36</definedName>
    <definedName name="_xlnm._FilterDatabase" localSheetId="10" hidden="1">'11_CRIMAC'!$A$2:$F$36</definedName>
    <definedName name="_xlnm._FilterDatabase" localSheetId="11" hidden="1">'12_CEIR'!$B$2:$K$2</definedName>
    <definedName name="_xlnm._FilterDatabase" localSheetId="13" hidden="1">'14_FIR_CS_COURT'!$A$2:$L$35</definedName>
    <definedName name="_xlnm._FilterDatabase" localSheetId="14" hidden="1">'15_EOFFICE'!$A$3:$L$36</definedName>
    <definedName name="_xlnm._FilterDatabase" localSheetId="16" hidden="1">'17_DRONE_FLYING'!$A$2:$L$35</definedName>
    <definedName name="_xlnm._FilterDatabase" localSheetId="18" hidden="1">'19_DIAL100_RES'!$A$2:$H$35</definedName>
    <definedName name="_xlnm._FilterDatabase" localSheetId="1" hidden="1">'2_MEDLEAPR_MLC'!$A$2:$H$36</definedName>
    <definedName name="_xlnm._FilterDatabase" localSheetId="19" hidden="1">'20_CCTV_360'!$A$3:$E$37</definedName>
    <definedName name="_xlnm._FilterDatabase" localSheetId="4" hidden="1">'5_CCTNS_TILL'!$A$2:$O$36</definedName>
    <definedName name="_xlnm._FilterDatabase" localSheetId="8" hidden="1">'9_CITIZEN_PORTAL'!$A$2:$H$36</definedName>
    <definedName name="_xlnm.Print_Area" localSheetId="0">'1_MEDLEAPR_PME'!$A$1:$H$36</definedName>
    <definedName name="_xlnm.Print_Area" localSheetId="9">'10_ESAKSHYA'!$A$1:$G$37</definedName>
    <definedName name="_xlnm.Print_Area" localSheetId="10">'11_CRIMAC'!$A$1:$F$36</definedName>
    <definedName name="_xlnm.Print_Area" localSheetId="11">'12_CEIR'!$A$1:$L$34</definedName>
    <definedName name="_xlnm.Print_Area" localSheetId="12">'13_EPROSEC'!$A$1:$F$36</definedName>
    <definedName name="_xlnm.Print_Area" localSheetId="13">'14_FIR_CS_COURT'!$A$1:$L$36</definedName>
    <definedName name="_xlnm.Print_Area" localSheetId="14">'15_EOFFICE'!$A$1:$K$36</definedName>
    <definedName name="_xlnm.Print_Area" localSheetId="15">'16_APOLIS'!$A$1:$K$36</definedName>
    <definedName name="_xlnm.Print_Area" localSheetId="16">'17_DRONE_FLYING'!$A$1:$L$35</definedName>
    <definedName name="_xlnm.Print_Area" localSheetId="17">'18_112_TABS'!$A$1:$H$36</definedName>
    <definedName name="_xlnm.Print_Area" localSheetId="18">'19_DIAL100_RES'!$A$1:$H$35</definedName>
    <definedName name="_xlnm.Print_Area" localSheetId="19">'20_CCTV_360'!$A$1:$E$36</definedName>
    <definedName name="_xlnm.Print_Area" localSheetId="20">'21_NEWS360AI'!$A$1:$D$35</definedName>
    <definedName name="_xlnm.Print_Area" localSheetId="21">'22_eFSL'!$A$1:$F$35</definedName>
    <definedName name="_xlnm.Print_Area" localSheetId="22">'23_UC3'!$A$1:$D$35</definedName>
    <definedName name="_xlnm.Print_Area" localSheetId="23">'23_UC4'!$A$1:$D$35</definedName>
    <definedName name="_xlnm.Print_Area" localSheetId="4">'5_CCTNS_TILL'!$A$1:$O$36</definedName>
    <definedName name="_xlnm.Print_Area" localSheetId="5">'6_CCTNS_1_7'!$A$1:$O$36</definedName>
    <definedName name="_xlnm.Print_Area" localSheetId="6">'7_CCTNS_8_15'!$A$1:$M$35</definedName>
    <definedName name="_xlnm.Print_Titles" localSheetId="0">'1_MEDLEAPR_PME'!$2:$2</definedName>
    <definedName name="_xlnm.Print_Titles" localSheetId="9">'10_ESAKSHYA'!$2:$2</definedName>
    <definedName name="_xlnm.Print_Titles" localSheetId="10">'11_CRIMAC'!$2:$2</definedName>
    <definedName name="_xlnm.Print_Titles" localSheetId="11">'12_CEIR'!$1:$2</definedName>
    <definedName name="_xlnm.Print_Titles" localSheetId="12">'13_EPROSEC'!$3:$3</definedName>
    <definedName name="_xlnm.Print_Titles" localSheetId="13">'14_FIR_CS_COURT'!$1:$2</definedName>
    <definedName name="_xlnm.Print_Titles" localSheetId="14">'15_EOFFICE'!$1:$3</definedName>
    <definedName name="_xlnm.Print_Titles" localSheetId="15">'16_APOLIS'!$1:$2</definedName>
    <definedName name="_xlnm.Print_Titles" localSheetId="1">'2_MEDLEAPR_MLC'!$2:$2</definedName>
    <definedName name="_xlnm.Print_Titles" localSheetId="19">'20_CCTV_360'!$1:$3</definedName>
    <definedName name="_xlnm.Print_Titles" localSheetId="20">'21_NEWS360AI'!$1:$2</definedName>
    <definedName name="_xlnm.Print_Titles" localSheetId="21">'22_eFSL'!$1:$2</definedName>
    <definedName name="_xlnm.Print_Titles" localSheetId="22">'23_UC3'!$1:$2</definedName>
    <definedName name="_xlnm.Print_Titles" localSheetId="23">'23_UC4'!$1:$2</definedName>
    <definedName name="_xlnm.Print_Titles" localSheetId="3">'4_DGP_DASH'!$2:$2</definedName>
    <definedName name="_xlnm.Print_Titles" localSheetId="4">'5_CCTNS_TILL'!$1:$2</definedName>
    <definedName name="_xlnm.Print_Titles" localSheetId="5">'6_CCTNS_1_7'!$1:$2</definedName>
    <definedName name="_xlnm.Print_Titles" localSheetId="6">'7_CCTNS_8_15'!$1:$2</definedName>
    <definedName name="_xlnm.Print_Titles" localSheetId="24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1" l="1"/>
  <c r="Y4" i="26"/>
  <c r="Y5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X4" i="26"/>
  <c r="X5" i="26"/>
  <c r="X6" i="26"/>
  <c r="X7" i="26"/>
  <c r="X8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" i="26"/>
  <c r="N4" i="26" l="1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" i="2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" i="6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" i="3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" i="5"/>
  <c r="N36" i="7"/>
  <c r="O36" i="7" s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" i="7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" i="23"/>
  <c r="E4" i="14"/>
  <c r="D37" i="21" l="1"/>
  <c r="E37" i="21"/>
  <c r="F37" i="21"/>
  <c r="G37" i="21"/>
  <c r="H37" i="21"/>
  <c r="I37" i="21"/>
  <c r="J37" i="21"/>
  <c r="K37" i="21"/>
  <c r="L37" i="21"/>
  <c r="M37" i="21"/>
  <c r="N37" i="21"/>
  <c r="O37" i="21"/>
  <c r="P37" i="21"/>
  <c r="C37" i="21"/>
  <c r="Q36" i="21" a="1"/>
  <c r="Q36" i="21" s="1"/>
  <c r="R36" i="21" s="1"/>
  <c r="U35" i="26" s="1"/>
  <c r="Q35" i="21" a="1"/>
  <c r="Q35" i="21" s="1"/>
  <c r="R35" i="21" s="1"/>
  <c r="U34" i="26" s="1"/>
  <c r="Q34" i="21" a="1"/>
  <c r="Q34" i="21" s="1"/>
  <c r="R34" i="21" s="1"/>
  <c r="U33" i="26" s="1"/>
  <c r="Q33" i="21" a="1"/>
  <c r="Q33" i="21" s="1"/>
  <c r="R33" i="21" s="1"/>
  <c r="U32" i="26" s="1"/>
  <c r="Q32" i="21" a="1"/>
  <c r="Q32" i="21" s="1"/>
  <c r="R32" i="21" s="1"/>
  <c r="U31" i="26" s="1"/>
  <c r="Q31" i="21" a="1"/>
  <c r="Q31" i="21" s="1"/>
  <c r="R31" i="21" s="1"/>
  <c r="U30" i="26" s="1"/>
  <c r="Q30" i="21" a="1"/>
  <c r="Q30" i="21" s="1"/>
  <c r="R30" i="21" s="1"/>
  <c r="U29" i="26" s="1"/>
  <c r="Q29" i="21" a="1"/>
  <c r="Q29" i="21" s="1"/>
  <c r="R29" i="21" s="1"/>
  <c r="U28" i="26" s="1"/>
  <c r="Q28" i="21" a="1"/>
  <c r="Q28" i="21" s="1"/>
  <c r="R28" i="21" s="1"/>
  <c r="U27" i="26" s="1"/>
  <c r="Q27" i="21" a="1"/>
  <c r="Q27" i="21" s="1"/>
  <c r="R27" i="21" s="1"/>
  <c r="U26" i="26" s="1"/>
  <c r="Q26" i="21" a="1"/>
  <c r="Q26" i="21" s="1"/>
  <c r="R26" i="21" s="1"/>
  <c r="U25" i="26" s="1"/>
  <c r="Q25" i="21" a="1"/>
  <c r="Q25" i="21" s="1"/>
  <c r="R25" i="21" s="1"/>
  <c r="U24" i="26" s="1"/>
  <c r="Q24" i="21" a="1"/>
  <c r="Q24" i="21" s="1"/>
  <c r="R24" i="21" s="1"/>
  <c r="U23" i="26" s="1"/>
  <c r="Q23" i="21" a="1"/>
  <c r="Q23" i="21" s="1"/>
  <c r="R23" i="21" s="1"/>
  <c r="U22" i="26" s="1"/>
  <c r="Q22" i="21" a="1"/>
  <c r="Q22" i="21" s="1"/>
  <c r="R22" i="21" s="1"/>
  <c r="U21" i="26" s="1"/>
  <c r="Q21" i="21" a="1"/>
  <c r="Q21" i="21" s="1"/>
  <c r="R21" i="21" s="1"/>
  <c r="U20" i="26" s="1"/>
  <c r="Q20" i="21" a="1"/>
  <c r="Q20" i="21" s="1"/>
  <c r="R20" i="21" s="1"/>
  <c r="U19" i="26" s="1"/>
  <c r="Q19" i="21" a="1"/>
  <c r="Q19" i="21" s="1"/>
  <c r="R19" i="21" s="1"/>
  <c r="U18" i="26" s="1"/>
  <c r="Q18" i="21" a="1"/>
  <c r="Q18" i="21" s="1"/>
  <c r="R18" i="21" s="1"/>
  <c r="U17" i="26" s="1"/>
  <c r="Q17" i="21" a="1"/>
  <c r="Q17" i="21" s="1"/>
  <c r="R17" i="21" s="1"/>
  <c r="U16" i="26" s="1"/>
  <c r="Q16" i="21" a="1"/>
  <c r="Q16" i="21" s="1"/>
  <c r="R16" i="21" s="1"/>
  <c r="U15" i="26" s="1"/>
  <c r="Q15" i="21" a="1"/>
  <c r="Q15" i="21" s="1"/>
  <c r="R15" i="21" s="1"/>
  <c r="U14" i="26" s="1"/>
  <c r="Q14" i="21" a="1"/>
  <c r="Q14" i="21" s="1"/>
  <c r="R14" i="21" s="1"/>
  <c r="U13" i="26" s="1"/>
  <c r="Q13" i="21" a="1"/>
  <c r="Q13" i="21" s="1"/>
  <c r="R13" i="21" s="1"/>
  <c r="U12" i="26" s="1"/>
  <c r="Q12" i="21" a="1"/>
  <c r="Q12" i="21" s="1"/>
  <c r="R12" i="21" s="1"/>
  <c r="U11" i="26" s="1"/>
  <c r="Q11" i="21" a="1"/>
  <c r="Q11" i="21" s="1"/>
  <c r="R11" i="21" s="1"/>
  <c r="U10" i="26" s="1"/>
  <c r="Q10" i="21" a="1"/>
  <c r="Q10" i="21" s="1"/>
  <c r="R10" i="21" s="1"/>
  <c r="U9" i="26" s="1"/>
  <c r="Q9" i="21" a="1"/>
  <c r="Q9" i="21" s="1"/>
  <c r="R9" i="21" s="1"/>
  <c r="U8" i="26" s="1"/>
  <c r="Q8" i="21" a="1"/>
  <c r="Q8" i="21" s="1"/>
  <c r="R8" i="21" s="1"/>
  <c r="U7" i="26" s="1"/>
  <c r="Q7" i="21" a="1"/>
  <c r="Q7" i="21" s="1"/>
  <c r="R7" i="21" s="1"/>
  <c r="U6" i="26" s="1"/>
  <c r="Q6" i="21" a="1"/>
  <c r="Q6" i="21" s="1"/>
  <c r="R6" i="21" s="1"/>
  <c r="U5" i="26" s="1"/>
  <c r="Q5" i="21" a="1"/>
  <c r="Q5" i="21" s="1"/>
  <c r="R5" i="21" s="1"/>
  <c r="U4" i="26" s="1"/>
  <c r="Q4" i="21" a="1"/>
  <c r="Q4" i="21" s="1"/>
  <c r="O2" i="21"/>
  <c r="M2" i="21"/>
  <c r="K2" i="21"/>
  <c r="I2" i="21"/>
  <c r="G2" i="21"/>
  <c r="C2" i="21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" i="20"/>
  <c r="G4" i="20" a="1"/>
  <c r="G4" i="20" s="1"/>
  <c r="G5" i="20" a="1"/>
  <c r="G5" i="20" s="1"/>
  <c r="G6" i="20" a="1"/>
  <c r="G6" i="20"/>
  <c r="G7" i="20" a="1"/>
  <c r="G7" i="20" s="1"/>
  <c r="G8" i="20" a="1"/>
  <c r="G8" i="20" s="1"/>
  <c r="G9" i="20" a="1"/>
  <c r="G9" i="20" s="1"/>
  <c r="G10" i="20" a="1"/>
  <c r="G10" i="20" s="1"/>
  <c r="G11" i="20" a="1"/>
  <c r="G11" i="20" s="1"/>
  <c r="G12" i="20" a="1"/>
  <c r="G12" i="20" s="1"/>
  <c r="G13" i="20" a="1"/>
  <c r="G13" i="20" s="1"/>
  <c r="G14" i="20" a="1"/>
  <c r="G14" i="20" s="1"/>
  <c r="G15" i="20" a="1"/>
  <c r="G15" i="20" s="1"/>
  <c r="G16" i="20" a="1"/>
  <c r="G16" i="20" s="1"/>
  <c r="G17" i="20" a="1"/>
  <c r="G17" i="20" s="1"/>
  <c r="G18" i="20" a="1"/>
  <c r="G18" i="20"/>
  <c r="G19" i="20" a="1"/>
  <c r="G19" i="20" s="1"/>
  <c r="G20" i="20" a="1"/>
  <c r="G20" i="20" s="1"/>
  <c r="G21" i="20" a="1"/>
  <c r="G21" i="20" s="1"/>
  <c r="G22" i="20" a="1"/>
  <c r="G22" i="20" s="1"/>
  <c r="G23" i="20" a="1"/>
  <c r="G23" i="20" s="1"/>
  <c r="G24" i="20" a="1"/>
  <c r="G24" i="20" s="1"/>
  <c r="G25" i="20" a="1"/>
  <c r="G25" i="20" s="1"/>
  <c r="G26" i="20" a="1"/>
  <c r="G26" i="20" s="1"/>
  <c r="G27" i="20" a="1"/>
  <c r="G27" i="20" s="1"/>
  <c r="G28" i="20" a="1"/>
  <c r="G28" i="20" s="1"/>
  <c r="G29" i="20" a="1"/>
  <c r="G29" i="20" s="1"/>
  <c r="G30" i="20" a="1"/>
  <c r="G30" i="20" s="1"/>
  <c r="G31" i="20" a="1"/>
  <c r="G31" i="20" s="1"/>
  <c r="G32" i="20" a="1"/>
  <c r="G32" i="20" s="1"/>
  <c r="G33" i="20" a="1"/>
  <c r="G33" i="20" s="1"/>
  <c r="G34" i="20" a="1"/>
  <c r="G34" i="20" s="1"/>
  <c r="G35" i="20" a="1"/>
  <c r="G35" i="20" s="1"/>
  <c r="G3" i="20" a="1"/>
  <c r="G3" i="20" s="1"/>
  <c r="G36" i="20"/>
  <c r="R4" i="21" l="1"/>
  <c r="U3" i="26" s="1"/>
  <c r="Q37" i="21"/>
  <c r="R37" i="21" s="1"/>
  <c r="G36" i="19"/>
  <c r="H36" i="19"/>
  <c r="F36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" i="19"/>
  <c r="G35" i="18" l="1"/>
  <c r="H35" i="18" s="1"/>
  <c r="J35" i="18" s="1"/>
  <c r="K35" i="18" s="1"/>
  <c r="G34" i="18"/>
  <c r="H34" i="18" s="1"/>
  <c r="J34" i="18" s="1"/>
  <c r="K34" i="18" s="1"/>
  <c r="G33" i="18"/>
  <c r="H33" i="18" s="1"/>
  <c r="J33" i="18" s="1"/>
  <c r="K33" i="18" s="1"/>
  <c r="G32" i="18"/>
  <c r="H32" i="18" s="1"/>
  <c r="J32" i="18" s="1"/>
  <c r="K32" i="18" s="1"/>
  <c r="G31" i="18"/>
  <c r="H31" i="18" s="1"/>
  <c r="J31" i="18" s="1"/>
  <c r="K31" i="18" s="1"/>
  <c r="G30" i="18"/>
  <c r="H30" i="18" s="1"/>
  <c r="J30" i="18" s="1"/>
  <c r="K30" i="18" s="1"/>
  <c r="G29" i="18"/>
  <c r="H29" i="18" s="1"/>
  <c r="J29" i="18" s="1"/>
  <c r="K29" i="18" s="1"/>
  <c r="G28" i="18"/>
  <c r="H28" i="18" s="1"/>
  <c r="J28" i="18" s="1"/>
  <c r="K28" i="18" s="1"/>
  <c r="G27" i="18"/>
  <c r="H27" i="18" s="1"/>
  <c r="J27" i="18" s="1"/>
  <c r="K27" i="18" s="1"/>
  <c r="G26" i="18"/>
  <c r="H26" i="18" s="1"/>
  <c r="J26" i="18" s="1"/>
  <c r="K26" i="18" s="1"/>
  <c r="G25" i="18"/>
  <c r="H25" i="18" s="1"/>
  <c r="J25" i="18" s="1"/>
  <c r="K25" i="18" s="1"/>
  <c r="G24" i="18"/>
  <c r="H24" i="18" s="1"/>
  <c r="J24" i="18" s="1"/>
  <c r="K24" i="18" s="1"/>
  <c r="G23" i="18"/>
  <c r="H23" i="18" s="1"/>
  <c r="J23" i="18" s="1"/>
  <c r="K23" i="18" s="1"/>
  <c r="G22" i="18"/>
  <c r="H22" i="18" s="1"/>
  <c r="J22" i="18" s="1"/>
  <c r="K22" i="18" s="1"/>
  <c r="G21" i="18"/>
  <c r="H21" i="18" s="1"/>
  <c r="J21" i="18" s="1"/>
  <c r="K21" i="18" s="1"/>
  <c r="G20" i="18"/>
  <c r="H20" i="18" s="1"/>
  <c r="J20" i="18" s="1"/>
  <c r="K20" i="18" s="1"/>
  <c r="G19" i="18"/>
  <c r="H19" i="18" s="1"/>
  <c r="J19" i="18" s="1"/>
  <c r="K19" i="18" s="1"/>
  <c r="G18" i="18"/>
  <c r="H18" i="18" s="1"/>
  <c r="J18" i="18" s="1"/>
  <c r="K18" i="18" s="1"/>
  <c r="G17" i="18"/>
  <c r="H17" i="18" s="1"/>
  <c r="J17" i="18" s="1"/>
  <c r="K17" i="18" s="1"/>
  <c r="G16" i="18"/>
  <c r="H16" i="18" s="1"/>
  <c r="J16" i="18" s="1"/>
  <c r="K16" i="18" s="1"/>
  <c r="G15" i="18"/>
  <c r="H15" i="18" s="1"/>
  <c r="J15" i="18" s="1"/>
  <c r="K15" i="18" s="1"/>
  <c r="G14" i="18"/>
  <c r="H14" i="18" s="1"/>
  <c r="J14" i="18" s="1"/>
  <c r="K14" i="18" s="1"/>
  <c r="G13" i="18"/>
  <c r="H13" i="18" s="1"/>
  <c r="J13" i="18" s="1"/>
  <c r="K13" i="18" s="1"/>
  <c r="G12" i="18"/>
  <c r="H12" i="18" s="1"/>
  <c r="J12" i="18" s="1"/>
  <c r="K12" i="18" s="1"/>
  <c r="G11" i="18"/>
  <c r="H11" i="18" s="1"/>
  <c r="J11" i="18" s="1"/>
  <c r="K11" i="18" s="1"/>
  <c r="G10" i="18"/>
  <c r="H10" i="18" s="1"/>
  <c r="J10" i="18" s="1"/>
  <c r="K10" i="18" s="1"/>
  <c r="G9" i="18"/>
  <c r="H9" i="18" s="1"/>
  <c r="J9" i="18" s="1"/>
  <c r="K9" i="18" s="1"/>
  <c r="G8" i="18"/>
  <c r="H8" i="18" s="1"/>
  <c r="J8" i="18" s="1"/>
  <c r="K8" i="18" s="1"/>
  <c r="G7" i="18"/>
  <c r="H7" i="18" s="1"/>
  <c r="J7" i="18" s="1"/>
  <c r="K7" i="18" s="1"/>
  <c r="G6" i="18"/>
  <c r="H6" i="18" s="1"/>
  <c r="J6" i="18" s="1"/>
  <c r="K6" i="18" s="1"/>
  <c r="G5" i="18"/>
  <c r="H5" i="18" s="1"/>
  <c r="J5" i="18" s="1"/>
  <c r="K5" i="18" s="1"/>
  <c r="G4" i="18"/>
  <c r="H4" i="18" s="1"/>
  <c r="J4" i="18" s="1"/>
  <c r="K4" i="18" s="1"/>
  <c r="G3" i="18"/>
  <c r="H3" i="18" s="1"/>
  <c r="J3" i="18" s="1"/>
  <c r="K3" i="18" s="1"/>
  <c r="G36" i="17"/>
  <c r="D36" i="17"/>
  <c r="C36" i="17"/>
  <c r="H35" i="17"/>
  <c r="I35" i="17" s="1"/>
  <c r="E35" i="17"/>
  <c r="H34" i="17"/>
  <c r="I34" i="17" s="1"/>
  <c r="E34" i="17"/>
  <c r="H33" i="17"/>
  <c r="I33" i="17" s="1"/>
  <c r="E33" i="17"/>
  <c r="H32" i="17"/>
  <c r="I32" i="17" s="1"/>
  <c r="E32" i="17"/>
  <c r="H31" i="17"/>
  <c r="I31" i="17" s="1"/>
  <c r="E31" i="17"/>
  <c r="H30" i="17"/>
  <c r="I30" i="17" s="1"/>
  <c r="E30" i="17"/>
  <c r="H29" i="17"/>
  <c r="I29" i="17" s="1"/>
  <c r="E29" i="17"/>
  <c r="H28" i="17"/>
  <c r="I28" i="17" s="1"/>
  <c r="E28" i="17"/>
  <c r="H27" i="17"/>
  <c r="I27" i="17" s="1"/>
  <c r="E27" i="17"/>
  <c r="E26" i="17"/>
  <c r="H26" i="17"/>
  <c r="I26" i="17" s="1"/>
  <c r="H25" i="17"/>
  <c r="I25" i="17" s="1"/>
  <c r="E25" i="17"/>
  <c r="H24" i="17"/>
  <c r="I24" i="17" s="1"/>
  <c r="E24" i="17"/>
  <c r="H23" i="17"/>
  <c r="I23" i="17" s="1"/>
  <c r="E23" i="17"/>
  <c r="H22" i="17"/>
  <c r="I22" i="17" s="1"/>
  <c r="E22" i="17"/>
  <c r="H21" i="17"/>
  <c r="I21" i="17" s="1"/>
  <c r="E21" i="17"/>
  <c r="F21" i="17" s="1"/>
  <c r="H20" i="17"/>
  <c r="I20" i="17" s="1"/>
  <c r="E20" i="17"/>
  <c r="H19" i="17"/>
  <c r="I19" i="17" s="1"/>
  <c r="E19" i="17"/>
  <c r="E18" i="17"/>
  <c r="H18" i="17"/>
  <c r="I18" i="17" s="1"/>
  <c r="H17" i="17"/>
  <c r="I17" i="17" s="1"/>
  <c r="E17" i="17"/>
  <c r="H16" i="17"/>
  <c r="I16" i="17" s="1"/>
  <c r="E16" i="17"/>
  <c r="H15" i="17"/>
  <c r="I15" i="17" s="1"/>
  <c r="E15" i="17"/>
  <c r="H14" i="17"/>
  <c r="I14" i="17" s="1"/>
  <c r="E14" i="17"/>
  <c r="H13" i="17"/>
  <c r="I13" i="17" s="1"/>
  <c r="E13" i="17"/>
  <c r="H12" i="17"/>
  <c r="I12" i="17" s="1"/>
  <c r="E12" i="17"/>
  <c r="H11" i="17"/>
  <c r="I11" i="17" s="1"/>
  <c r="E11" i="17"/>
  <c r="E10" i="17"/>
  <c r="H10" i="17"/>
  <c r="I10" i="17" s="1"/>
  <c r="H9" i="17"/>
  <c r="I9" i="17" s="1"/>
  <c r="E9" i="17"/>
  <c r="H8" i="17"/>
  <c r="I8" i="17" s="1"/>
  <c r="E8" i="17"/>
  <c r="H7" i="17"/>
  <c r="I7" i="17" s="1"/>
  <c r="E7" i="17"/>
  <c r="H6" i="17"/>
  <c r="I6" i="17" s="1"/>
  <c r="E6" i="17"/>
  <c r="F6" i="17" s="1"/>
  <c r="H5" i="17"/>
  <c r="I5" i="17" s="1"/>
  <c r="E5" i="17"/>
  <c r="F5" i="17" s="1"/>
  <c r="J5" i="17" s="1"/>
  <c r="H4" i="17"/>
  <c r="I4" i="17" s="1"/>
  <c r="E4" i="17"/>
  <c r="H3" i="17"/>
  <c r="I3" i="17" s="1"/>
  <c r="E3" i="17"/>
  <c r="K34" i="17" l="1"/>
  <c r="K33" i="17"/>
  <c r="K24" i="17"/>
  <c r="J6" i="17"/>
  <c r="E36" i="17"/>
  <c r="I36" i="17"/>
  <c r="K21" i="17"/>
  <c r="H36" i="17"/>
  <c r="K18" i="17"/>
  <c r="F33" i="17"/>
  <c r="J33" i="17" s="1"/>
  <c r="J21" i="17"/>
  <c r="K4" i="17"/>
  <c r="F4" i="17"/>
  <c r="J4" i="17" s="1"/>
  <c r="F14" i="17"/>
  <c r="J14" i="17" s="1"/>
  <c r="K14" i="17"/>
  <c r="F28" i="17"/>
  <c r="J28" i="17" s="1"/>
  <c r="K28" i="17"/>
  <c r="K8" i="17"/>
  <c r="F8" i="17"/>
  <c r="J8" i="17" s="1"/>
  <c r="F32" i="17"/>
  <c r="J32" i="17" s="1"/>
  <c r="K32" i="17"/>
  <c r="F23" i="17"/>
  <c r="J23" i="17" s="1"/>
  <c r="K23" i="17"/>
  <c r="K10" i="17"/>
  <c r="F10" i="17"/>
  <c r="J10" i="17" s="1"/>
  <c r="K20" i="17"/>
  <c r="F20" i="17"/>
  <c r="J20" i="17" s="1"/>
  <c r="K26" i="17"/>
  <c r="F26" i="17"/>
  <c r="J26" i="17" s="1"/>
  <c r="K17" i="17"/>
  <c r="F17" i="17"/>
  <c r="J17" i="17" s="1"/>
  <c r="K22" i="17"/>
  <c r="F22" i="17"/>
  <c r="J22" i="17" s="1"/>
  <c r="F9" i="17"/>
  <c r="J9" i="17" s="1"/>
  <c r="K9" i="17"/>
  <c r="K27" i="17"/>
  <c r="F27" i="17"/>
  <c r="J27" i="17" s="1"/>
  <c r="K19" i="17"/>
  <c r="F19" i="17"/>
  <c r="J19" i="17" s="1"/>
  <c r="F16" i="17"/>
  <c r="J16" i="17" s="1"/>
  <c r="K16" i="17"/>
  <c r="K29" i="17"/>
  <c r="F29" i="17"/>
  <c r="J29" i="17" s="1"/>
  <c r="K3" i="17"/>
  <c r="F3" i="17"/>
  <c r="F12" i="17"/>
  <c r="J12" i="17" s="1"/>
  <c r="K12" i="17"/>
  <c r="K35" i="17"/>
  <c r="F35" i="17"/>
  <c r="J35" i="17" s="1"/>
  <c r="K15" i="17"/>
  <c r="F15" i="17"/>
  <c r="J15" i="17" s="1"/>
  <c r="K11" i="17"/>
  <c r="F11" i="17"/>
  <c r="J11" i="17" s="1"/>
  <c r="F7" i="17"/>
  <c r="J7" i="17" s="1"/>
  <c r="K7" i="17"/>
  <c r="F30" i="17"/>
  <c r="J30" i="17" s="1"/>
  <c r="K30" i="17"/>
  <c r="K25" i="17"/>
  <c r="F25" i="17"/>
  <c r="J25" i="17" s="1"/>
  <c r="K13" i="17"/>
  <c r="F13" i="17"/>
  <c r="J13" i="17" s="1"/>
  <c r="K31" i="17"/>
  <c r="F31" i="17"/>
  <c r="J31" i="17" s="1"/>
  <c r="K5" i="17"/>
  <c r="F34" i="17"/>
  <c r="J34" i="17" s="1"/>
  <c r="F18" i="17"/>
  <c r="J18" i="17" s="1"/>
  <c r="F24" i="17"/>
  <c r="J24" i="17" s="1"/>
  <c r="K6" i="17"/>
  <c r="J3" i="17" l="1"/>
  <c r="J36" i="17" s="1"/>
  <c r="F36" i="17"/>
  <c r="K36" i="17"/>
  <c r="I6" i="16" l="1"/>
  <c r="H14" i="16"/>
  <c r="I14" i="16" s="1"/>
  <c r="H22" i="16"/>
  <c r="H23" i="16"/>
  <c r="I23" i="16" s="1"/>
  <c r="H26" i="16"/>
  <c r="H34" i="16"/>
  <c r="H35" i="16"/>
  <c r="I35" i="16" s="1"/>
  <c r="G5" i="16"/>
  <c r="H5" i="16" s="1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I12" i="16" s="1"/>
  <c r="G13" i="16"/>
  <c r="H13" i="16" s="1"/>
  <c r="G14" i="16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G23" i="16"/>
  <c r="G24" i="16"/>
  <c r="H24" i="16" s="1"/>
  <c r="G25" i="16"/>
  <c r="H25" i="16" s="1"/>
  <c r="G26" i="16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G35" i="16"/>
  <c r="G36" i="16"/>
  <c r="H36" i="16" s="1"/>
  <c r="G4" i="16"/>
  <c r="H4" i="16" s="1"/>
  <c r="D5" i="16"/>
  <c r="E5" i="16" s="1"/>
  <c r="D6" i="16"/>
  <c r="E6" i="16" s="1"/>
  <c r="D7" i="16"/>
  <c r="E7" i="16" s="1"/>
  <c r="D8" i="16"/>
  <c r="E8" i="16" s="1"/>
  <c r="D9" i="16"/>
  <c r="E9" i="16" s="1"/>
  <c r="D10" i="16"/>
  <c r="E10" i="16" s="1"/>
  <c r="D11" i="16"/>
  <c r="E11" i="16" s="1"/>
  <c r="D12" i="16"/>
  <c r="E12" i="16" s="1"/>
  <c r="D13" i="16"/>
  <c r="E13" i="16" s="1"/>
  <c r="D14" i="16"/>
  <c r="E14" i="16" s="1"/>
  <c r="D15" i="16"/>
  <c r="E15" i="16" s="1"/>
  <c r="D16" i="16"/>
  <c r="E16" i="16" s="1"/>
  <c r="D17" i="16"/>
  <c r="E17" i="16" s="1"/>
  <c r="D18" i="16"/>
  <c r="E18" i="16" s="1"/>
  <c r="D19" i="16"/>
  <c r="E19" i="16" s="1"/>
  <c r="D20" i="16"/>
  <c r="E20" i="16" s="1"/>
  <c r="D21" i="16"/>
  <c r="E21" i="16" s="1"/>
  <c r="D22" i="16"/>
  <c r="E22" i="16" s="1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E28" i="16" s="1"/>
  <c r="D29" i="16"/>
  <c r="E29" i="16" s="1"/>
  <c r="D30" i="16"/>
  <c r="E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E36" i="16" s="1"/>
  <c r="D4" i="16"/>
  <c r="E4" i="16" s="1"/>
  <c r="L36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" i="15"/>
  <c r="K36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" i="15"/>
  <c r="J36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" i="15"/>
  <c r="I36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" i="15"/>
  <c r="F36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" i="15"/>
  <c r="E36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" i="15"/>
  <c r="E5" i="14"/>
  <c r="E6" i="14"/>
  <c r="E7" i="14"/>
  <c r="E8" i="14"/>
  <c r="F8" i="14" s="1"/>
  <c r="E9" i="14"/>
  <c r="F9" i="14" s="1"/>
  <c r="E10" i="14"/>
  <c r="E11" i="14"/>
  <c r="E12" i="14"/>
  <c r="E13" i="14"/>
  <c r="F13" i="14" s="1"/>
  <c r="E14" i="14"/>
  <c r="F14" i="14" s="1"/>
  <c r="E15" i="14"/>
  <c r="F15" i="14" s="1"/>
  <c r="E16" i="14"/>
  <c r="F16" i="14" s="1"/>
  <c r="E17" i="14"/>
  <c r="F17" i="14" s="1"/>
  <c r="E18" i="14"/>
  <c r="F18" i="14" s="1"/>
  <c r="E19" i="14"/>
  <c r="F19" i="14" s="1"/>
  <c r="E20" i="14"/>
  <c r="F20" i="14" s="1"/>
  <c r="E21" i="14"/>
  <c r="E22" i="14"/>
  <c r="F22" i="14" s="1"/>
  <c r="E23" i="14"/>
  <c r="F23" i="14" s="1"/>
  <c r="E24" i="14"/>
  <c r="F24" i="14" s="1"/>
  <c r="E25" i="14"/>
  <c r="E26" i="14"/>
  <c r="E27" i="14"/>
  <c r="E28" i="14"/>
  <c r="E29" i="14"/>
  <c r="E30" i="14"/>
  <c r="E31" i="14"/>
  <c r="F31" i="14" s="1"/>
  <c r="E32" i="14"/>
  <c r="F32" i="14" s="1"/>
  <c r="E33" i="14"/>
  <c r="F33" i="14" s="1"/>
  <c r="E34" i="14"/>
  <c r="F34" i="14" s="1"/>
  <c r="E35" i="14"/>
  <c r="F35" i="14" s="1"/>
  <c r="E36" i="14"/>
  <c r="F36" i="14" s="1"/>
  <c r="F10" i="14"/>
  <c r="F11" i="14"/>
  <c r="F12" i="14"/>
  <c r="F25" i="14"/>
  <c r="F29" i="14"/>
  <c r="F30" i="14"/>
  <c r="F26" i="14"/>
  <c r="F27" i="14"/>
  <c r="F28" i="14"/>
  <c r="F4" i="14"/>
  <c r="F5" i="14"/>
  <c r="F6" i="14"/>
  <c r="F7" i="14"/>
  <c r="F21" i="14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" i="26"/>
  <c r="J36" i="13"/>
  <c r="K36" i="13"/>
  <c r="L36" i="13"/>
  <c r="I36" i="13"/>
  <c r="D36" i="13"/>
  <c r="E36" i="13"/>
  <c r="F36" i="13"/>
  <c r="G36" i="13"/>
  <c r="H36" i="13"/>
  <c r="C36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" i="13"/>
  <c r="I4" i="13"/>
  <c r="I5" i="13"/>
  <c r="I6" i="13"/>
  <c r="I7" i="13"/>
  <c r="I8" i="13"/>
  <c r="J8" i="13" s="1"/>
  <c r="I9" i="13"/>
  <c r="I10" i="13"/>
  <c r="I11" i="13"/>
  <c r="I12" i="13"/>
  <c r="J12" i="13" s="1"/>
  <c r="I13" i="13"/>
  <c r="J13" i="13" s="1"/>
  <c r="I14" i="13"/>
  <c r="I15" i="13"/>
  <c r="I16" i="13"/>
  <c r="J16" i="13" s="1"/>
  <c r="I17" i="13"/>
  <c r="J17" i="13" s="1"/>
  <c r="I18" i="13"/>
  <c r="J11" i="13" s="1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J33" i="13" s="1"/>
  <c r="I34" i="13"/>
  <c r="J34" i="13" s="1"/>
  <c r="I35" i="13"/>
  <c r="I3" i="13"/>
  <c r="J34" i="16" l="1"/>
  <c r="K34" i="16" s="1"/>
  <c r="J26" i="16"/>
  <c r="K26" i="16" s="1"/>
  <c r="J22" i="16"/>
  <c r="K22" i="16" s="1"/>
  <c r="J6" i="16"/>
  <c r="K6" i="16" s="1"/>
  <c r="J36" i="16"/>
  <c r="K36" i="16" s="1"/>
  <c r="I36" i="16"/>
  <c r="I25" i="16"/>
  <c r="J25" i="16"/>
  <c r="K25" i="16" s="1"/>
  <c r="J10" i="16"/>
  <c r="K10" i="16" s="1"/>
  <c r="I10" i="16"/>
  <c r="I33" i="16"/>
  <c r="J33" i="16"/>
  <c r="K33" i="16" s="1"/>
  <c r="I21" i="16"/>
  <c r="J21" i="16"/>
  <c r="K21" i="16" s="1"/>
  <c r="I9" i="16"/>
  <c r="J9" i="16"/>
  <c r="K9" i="16" s="1"/>
  <c r="I16" i="16"/>
  <c r="J16" i="16"/>
  <c r="K16" i="16" s="1"/>
  <c r="J32" i="16"/>
  <c r="K32" i="16" s="1"/>
  <c r="I32" i="16"/>
  <c r="J20" i="16"/>
  <c r="K20" i="16" s="1"/>
  <c r="I20" i="16"/>
  <c r="J8" i="16"/>
  <c r="K8" i="16" s="1"/>
  <c r="I8" i="16"/>
  <c r="I28" i="16"/>
  <c r="J28" i="16"/>
  <c r="K28" i="16" s="1"/>
  <c r="J27" i="16"/>
  <c r="K27" i="16" s="1"/>
  <c r="I27" i="16"/>
  <c r="I13" i="16"/>
  <c r="J13" i="16"/>
  <c r="K13" i="16" s="1"/>
  <c r="I11" i="16"/>
  <c r="J11" i="16"/>
  <c r="K11" i="16" s="1"/>
  <c r="I31" i="16"/>
  <c r="J31" i="16"/>
  <c r="K31" i="16" s="1"/>
  <c r="I19" i="16"/>
  <c r="J19" i="16"/>
  <c r="K19" i="16" s="1"/>
  <c r="I7" i="16"/>
  <c r="J7" i="16"/>
  <c r="K7" i="16" s="1"/>
  <c r="J15" i="16"/>
  <c r="K15" i="16" s="1"/>
  <c r="I15" i="16"/>
  <c r="I4" i="16"/>
  <c r="J4" i="16"/>
  <c r="K4" i="16" s="1"/>
  <c r="I24" i="16"/>
  <c r="J24" i="16"/>
  <c r="K24" i="16" s="1"/>
  <c r="J30" i="16"/>
  <c r="K30" i="16" s="1"/>
  <c r="I30" i="16"/>
  <c r="J18" i="16"/>
  <c r="K18" i="16" s="1"/>
  <c r="I18" i="16"/>
  <c r="J29" i="16"/>
  <c r="K29" i="16" s="1"/>
  <c r="I29" i="16"/>
  <c r="J17" i="16"/>
  <c r="K17" i="16" s="1"/>
  <c r="I17" i="16"/>
  <c r="J5" i="16"/>
  <c r="K5" i="16" s="1"/>
  <c r="I5" i="16"/>
  <c r="J14" i="16"/>
  <c r="K14" i="16" s="1"/>
  <c r="I34" i="16"/>
  <c r="I22" i="16"/>
  <c r="J12" i="16"/>
  <c r="K12" i="16" s="1"/>
  <c r="I26" i="16"/>
  <c r="J35" i="16"/>
  <c r="K35" i="16" s="1"/>
  <c r="J23" i="16"/>
  <c r="K23" i="16" s="1"/>
  <c r="J35" i="13"/>
  <c r="J15" i="13"/>
  <c r="J22" i="13"/>
  <c r="J32" i="13"/>
  <c r="J21" i="13"/>
  <c r="J18" i="13"/>
  <c r="J4" i="13"/>
  <c r="J23" i="13"/>
  <c r="J9" i="13"/>
  <c r="J7" i="13"/>
  <c r="J28" i="13"/>
  <c r="J6" i="13"/>
  <c r="J27" i="13"/>
  <c r="J25" i="13"/>
  <c r="J24" i="13"/>
  <c r="J10" i="13"/>
  <c r="J30" i="13"/>
  <c r="J29" i="13"/>
  <c r="J26" i="13"/>
  <c r="J19" i="13"/>
  <c r="J31" i="13"/>
  <c r="J5" i="13"/>
  <c r="J3" i="13"/>
  <c r="J14" i="13"/>
  <c r="J20" i="13"/>
  <c r="F4" i="12"/>
  <c r="F5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" i="12"/>
  <c r="E4" i="12"/>
  <c r="E5" i="12"/>
  <c r="E6" i="12"/>
  <c r="F6" i="12" s="1"/>
  <c r="E7" i="12"/>
  <c r="F7" i="12" s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36" i="12" s="1"/>
  <c r="E28" i="12"/>
  <c r="E29" i="12"/>
  <c r="E30" i="12"/>
  <c r="E31" i="12"/>
  <c r="E32" i="12"/>
  <c r="E33" i="12"/>
  <c r="E34" i="12"/>
  <c r="E35" i="12"/>
  <c r="E3" i="12"/>
  <c r="H37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4" i="11"/>
  <c r="G37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4" i="11"/>
  <c r="H36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" i="10"/>
  <c r="F36" i="10"/>
  <c r="G36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" i="10"/>
  <c r="F3" i="10" s="1"/>
  <c r="G3" i="10" s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" i="9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" i="7"/>
  <c r="N36" i="6"/>
  <c r="O36" i="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" i="2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" i="6"/>
  <c r="G35" i="4"/>
  <c r="H35" i="4" s="1"/>
  <c r="G34" i="4"/>
  <c r="H34" i="4" s="1"/>
  <c r="H33" i="4"/>
  <c r="G33" i="4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H25" i="4"/>
  <c r="G25" i="4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H17" i="4"/>
  <c r="G17" i="4"/>
  <c r="G16" i="4"/>
  <c r="H16" i="4" s="1"/>
  <c r="G15" i="4"/>
  <c r="H15" i="4" s="1"/>
  <c r="G14" i="4"/>
  <c r="H14" i="4" s="1"/>
  <c r="H13" i="4"/>
  <c r="G13" i="4"/>
  <c r="G12" i="4"/>
  <c r="H12" i="4" s="1"/>
  <c r="G11" i="4"/>
  <c r="H11" i="4" s="1"/>
  <c r="G10" i="4"/>
  <c r="H10" i="4" s="1"/>
  <c r="H9" i="4"/>
  <c r="G9" i="4"/>
  <c r="G8" i="4"/>
  <c r="H8" i="4" s="1"/>
  <c r="G7" i="4"/>
  <c r="H7" i="4" s="1"/>
  <c r="G6" i="4"/>
  <c r="H6" i="4" s="1"/>
  <c r="G5" i="4"/>
  <c r="H5" i="4" s="1"/>
  <c r="H4" i="4"/>
  <c r="G4" i="4"/>
  <c r="G3" i="4"/>
  <c r="H3" i="4" s="1"/>
  <c r="G36" i="3"/>
  <c r="H36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" i="3"/>
  <c r="F36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" i="3"/>
  <c r="G36" i="2"/>
  <c r="H36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" i="2"/>
  <c r="F36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" i="2"/>
  <c r="Y3" i="26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" i="26"/>
  <c r="F36" i="12" l="1"/>
  <c r="M36" i="6"/>
  <c r="N13" i="6" s="1"/>
  <c r="B4" i="26"/>
  <c r="C4" i="26"/>
  <c r="D4" i="26"/>
  <c r="E4" i="26"/>
  <c r="H4" i="26"/>
  <c r="I4" i="26"/>
  <c r="J4" i="26"/>
  <c r="L4" i="26"/>
  <c r="O4" i="26"/>
  <c r="P4" i="26"/>
  <c r="Q4" i="26"/>
  <c r="R4" i="26"/>
  <c r="S4" i="26"/>
  <c r="T4" i="26"/>
  <c r="V4" i="26"/>
  <c r="B5" i="26"/>
  <c r="C5" i="26"/>
  <c r="D5" i="26"/>
  <c r="E5" i="26"/>
  <c r="H5" i="26"/>
  <c r="I5" i="26"/>
  <c r="J5" i="26"/>
  <c r="L5" i="26"/>
  <c r="O5" i="26"/>
  <c r="P5" i="26"/>
  <c r="Q5" i="26"/>
  <c r="R5" i="26"/>
  <c r="S5" i="26"/>
  <c r="T5" i="26"/>
  <c r="V5" i="26"/>
  <c r="B6" i="26"/>
  <c r="C6" i="26"/>
  <c r="D6" i="26"/>
  <c r="E6" i="26"/>
  <c r="H6" i="26"/>
  <c r="I6" i="26"/>
  <c r="J6" i="26"/>
  <c r="L6" i="26"/>
  <c r="O6" i="26"/>
  <c r="P6" i="26"/>
  <c r="Q6" i="26"/>
  <c r="R6" i="26"/>
  <c r="S6" i="26"/>
  <c r="T6" i="26"/>
  <c r="V6" i="26"/>
  <c r="B7" i="26"/>
  <c r="C7" i="26"/>
  <c r="D7" i="26"/>
  <c r="E7" i="26"/>
  <c r="H7" i="26"/>
  <c r="I7" i="26"/>
  <c r="J7" i="26"/>
  <c r="L7" i="26"/>
  <c r="O7" i="26"/>
  <c r="P7" i="26"/>
  <c r="Q7" i="26"/>
  <c r="R7" i="26"/>
  <c r="S7" i="26"/>
  <c r="T7" i="26"/>
  <c r="V7" i="26"/>
  <c r="B8" i="26"/>
  <c r="C8" i="26"/>
  <c r="D8" i="26"/>
  <c r="E8" i="26"/>
  <c r="H8" i="26"/>
  <c r="I8" i="26"/>
  <c r="J8" i="26"/>
  <c r="L8" i="26"/>
  <c r="O8" i="26"/>
  <c r="P8" i="26"/>
  <c r="Q8" i="26"/>
  <c r="R8" i="26"/>
  <c r="S8" i="26"/>
  <c r="T8" i="26"/>
  <c r="V8" i="26"/>
  <c r="B9" i="26"/>
  <c r="C9" i="26"/>
  <c r="D9" i="26"/>
  <c r="E9" i="26"/>
  <c r="H9" i="26"/>
  <c r="I9" i="26"/>
  <c r="J9" i="26"/>
  <c r="L9" i="26"/>
  <c r="O9" i="26"/>
  <c r="P9" i="26"/>
  <c r="Q9" i="26"/>
  <c r="R9" i="26"/>
  <c r="S9" i="26"/>
  <c r="T9" i="26"/>
  <c r="V9" i="26"/>
  <c r="B10" i="26"/>
  <c r="C10" i="26"/>
  <c r="D10" i="26"/>
  <c r="E10" i="26"/>
  <c r="H10" i="26"/>
  <c r="I10" i="26"/>
  <c r="J10" i="26"/>
  <c r="L10" i="26"/>
  <c r="O10" i="26"/>
  <c r="P10" i="26"/>
  <c r="Q10" i="26"/>
  <c r="R10" i="26"/>
  <c r="S10" i="26"/>
  <c r="T10" i="26"/>
  <c r="V10" i="26"/>
  <c r="B11" i="26"/>
  <c r="C11" i="26"/>
  <c r="D11" i="26"/>
  <c r="E11" i="26"/>
  <c r="H11" i="26"/>
  <c r="I11" i="26"/>
  <c r="J11" i="26"/>
  <c r="L11" i="26"/>
  <c r="O11" i="26"/>
  <c r="P11" i="26"/>
  <c r="Q11" i="26"/>
  <c r="R11" i="26"/>
  <c r="S11" i="26"/>
  <c r="T11" i="26"/>
  <c r="V11" i="26"/>
  <c r="B12" i="26"/>
  <c r="C12" i="26"/>
  <c r="D12" i="26"/>
  <c r="E12" i="26"/>
  <c r="H12" i="26"/>
  <c r="I12" i="26"/>
  <c r="J12" i="26"/>
  <c r="L12" i="26"/>
  <c r="O12" i="26"/>
  <c r="P12" i="26"/>
  <c r="Q12" i="26"/>
  <c r="R12" i="26"/>
  <c r="S12" i="26"/>
  <c r="T12" i="26"/>
  <c r="V12" i="26"/>
  <c r="B13" i="26"/>
  <c r="C13" i="26"/>
  <c r="D13" i="26"/>
  <c r="E13" i="26"/>
  <c r="H13" i="26"/>
  <c r="I13" i="26"/>
  <c r="J13" i="26"/>
  <c r="L13" i="26"/>
  <c r="O13" i="26"/>
  <c r="P13" i="26"/>
  <c r="Q13" i="26"/>
  <c r="R13" i="26"/>
  <c r="S13" i="26"/>
  <c r="T13" i="26"/>
  <c r="V13" i="26"/>
  <c r="B14" i="26"/>
  <c r="C14" i="26"/>
  <c r="D14" i="26"/>
  <c r="E14" i="26"/>
  <c r="H14" i="26"/>
  <c r="I14" i="26"/>
  <c r="J14" i="26"/>
  <c r="L14" i="26"/>
  <c r="O14" i="26"/>
  <c r="P14" i="26"/>
  <c r="Q14" i="26"/>
  <c r="R14" i="26"/>
  <c r="S14" i="26"/>
  <c r="T14" i="26"/>
  <c r="V14" i="26"/>
  <c r="B15" i="26"/>
  <c r="C15" i="26"/>
  <c r="D15" i="26"/>
  <c r="E15" i="26"/>
  <c r="H15" i="26"/>
  <c r="I15" i="26"/>
  <c r="J15" i="26"/>
  <c r="L15" i="26"/>
  <c r="O15" i="26"/>
  <c r="P15" i="26"/>
  <c r="Q15" i="26"/>
  <c r="R15" i="26"/>
  <c r="S15" i="26"/>
  <c r="T15" i="26"/>
  <c r="V15" i="26"/>
  <c r="B16" i="26"/>
  <c r="C16" i="26"/>
  <c r="D16" i="26"/>
  <c r="E16" i="26"/>
  <c r="H16" i="26"/>
  <c r="I16" i="26"/>
  <c r="J16" i="26"/>
  <c r="L16" i="26"/>
  <c r="O16" i="26"/>
  <c r="P16" i="26"/>
  <c r="Q16" i="26"/>
  <c r="R16" i="26"/>
  <c r="S16" i="26"/>
  <c r="T16" i="26"/>
  <c r="V16" i="26"/>
  <c r="B17" i="26"/>
  <c r="C17" i="26"/>
  <c r="D17" i="26"/>
  <c r="E17" i="26"/>
  <c r="H17" i="26"/>
  <c r="I17" i="26"/>
  <c r="J17" i="26"/>
  <c r="L17" i="26"/>
  <c r="O17" i="26"/>
  <c r="P17" i="26"/>
  <c r="Q17" i="26"/>
  <c r="R17" i="26"/>
  <c r="S17" i="26"/>
  <c r="T17" i="26"/>
  <c r="V17" i="26"/>
  <c r="B18" i="26"/>
  <c r="C18" i="26"/>
  <c r="D18" i="26"/>
  <c r="E18" i="26"/>
  <c r="H18" i="26"/>
  <c r="I18" i="26"/>
  <c r="J18" i="26"/>
  <c r="L18" i="26"/>
  <c r="O18" i="26"/>
  <c r="P18" i="26"/>
  <c r="Q18" i="26"/>
  <c r="R18" i="26"/>
  <c r="S18" i="26"/>
  <c r="T18" i="26"/>
  <c r="V18" i="26"/>
  <c r="B19" i="26"/>
  <c r="C19" i="26"/>
  <c r="D19" i="26"/>
  <c r="E19" i="26"/>
  <c r="H19" i="26"/>
  <c r="I19" i="26"/>
  <c r="J19" i="26"/>
  <c r="L19" i="26"/>
  <c r="O19" i="26"/>
  <c r="P19" i="26"/>
  <c r="Q19" i="26"/>
  <c r="R19" i="26"/>
  <c r="S19" i="26"/>
  <c r="T19" i="26"/>
  <c r="V19" i="26"/>
  <c r="B20" i="26"/>
  <c r="C20" i="26"/>
  <c r="D20" i="26"/>
  <c r="E20" i="26"/>
  <c r="H20" i="26"/>
  <c r="I20" i="26"/>
  <c r="J20" i="26"/>
  <c r="L20" i="26"/>
  <c r="O20" i="26"/>
  <c r="P20" i="26"/>
  <c r="Q20" i="26"/>
  <c r="R20" i="26"/>
  <c r="S20" i="26"/>
  <c r="T20" i="26"/>
  <c r="V20" i="26"/>
  <c r="B21" i="26"/>
  <c r="C21" i="26"/>
  <c r="D21" i="26"/>
  <c r="E21" i="26"/>
  <c r="H21" i="26"/>
  <c r="I21" i="26"/>
  <c r="J21" i="26"/>
  <c r="L21" i="26"/>
  <c r="O21" i="26"/>
  <c r="P21" i="26"/>
  <c r="Q21" i="26"/>
  <c r="R21" i="26"/>
  <c r="S21" i="26"/>
  <c r="T21" i="26"/>
  <c r="V21" i="26"/>
  <c r="B22" i="26"/>
  <c r="C22" i="26"/>
  <c r="D22" i="26"/>
  <c r="E22" i="26"/>
  <c r="H22" i="26"/>
  <c r="I22" i="26"/>
  <c r="J22" i="26"/>
  <c r="L22" i="26"/>
  <c r="O22" i="26"/>
  <c r="P22" i="26"/>
  <c r="Q22" i="26"/>
  <c r="R22" i="26"/>
  <c r="S22" i="26"/>
  <c r="T22" i="26"/>
  <c r="V22" i="26"/>
  <c r="B23" i="26"/>
  <c r="C23" i="26"/>
  <c r="D23" i="26"/>
  <c r="E23" i="26"/>
  <c r="H23" i="26"/>
  <c r="I23" i="26"/>
  <c r="J23" i="26"/>
  <c r="L23" i="26"/>
  <c r="O23" i="26"/>
  <c r="P23" i="26"/>
  <c r="Q23" i="26"/>
  <c r="R23" i="26"/>
  <c r="S23" i="26"/>
  <c r="T23" i="26"/>
  <c r="V23" i="26"/>
  <c r="B24" i="26"/>
  <c r="C24" i="26"/>
  <c r="D24" i="26"/>
  <c r="E24" i="26"/>
  <c r="H24" i="26"/>
  <c r="I24" i="26"/>
  <c r="J24" i="26"/>
  <c r="L24" i="26"/>
  <c r="O24" i="26"/>
  <c r="P24" i="26"/>
  <c r="Q24" i="26"/>
  <c r="R24" i="26"/>
  <c r="S24" i="26"/>
  <c r="T24" i="26"/>
  <c r="V24" i="26"/>
  <c r="B25" i="26"/>
  <c r="C25" i="26"/>
  <c r="D25" i="26"/>
  <c r="E25" i="26"/>
  <c r="H25" i="26"/>
  <c r="I25" i="26"/>
  <c r="J25" i="26"/>
  <c r="L25" i="26"/>
  <c r="O25" i="26"/>
  <c r="P25" i="26"/>
  <c r="Q25" i="26"/>
  <c r="R25" i="26"/>
  <c r="S25" i="26"/>
  <c r="T25" i="26"/>
  <c r="V25" i="26"/>
  <c r="B26" i="26"/>
  <c r="C26" i="26"/>
  <c r="D26" i="26"/>
  <c r="E26" i="26"/>
  <c r="H26" i="26"/>
  <c r="I26" i="26"/>
  <c r="J26" i="26"/>
  <c r="L26" i="26"/>
  <c r="O26" i="26"/>
  <c r="P26" i="26"/>
  <c r="Q26" i="26"/>
  <c r="R26" i="26"/>
  <c r="S26" i="26"/>
  <c r="T26" i="26"/>
  <c r="V26" i="26"/>
  <c r="B27" i="26"/>
  <c r="C27" i="26"/>
  <c r="D27" i="26"/>
  <c r="E27" i="26"/>
  <c r="H27" i="26"/>
  <c r="I27" i="26"/>
  <c r="J27" i="26"/>
  <c r="L27" i="26"/>
  <c r="O27" i="26"/>
  <c r="P27" i="26"/>
  <c r="Q27" i="26"/>
  <c r="R27" i="26"/>
  <c r="S27" i="26"/>
  <c r="T27" i="26"/>
  <c r="V27" i="26"/>
  <c r="B28" i="26"/>
  <c r="C28" i="26"/>
  <c r="D28" i="26"/>
  <c r="E28" i="26"/>
  <c r="H28" i="26"/>
  <c r="I28" i="26"/>
  <c r="J28" i="26"/>
  <c r="L28" i="26"/>
  <c r="O28" i="26"/>
  <c r="P28" i="26"/>
  <c r="Q28" i="26"/>
  <c r="R28" i="26"/>
  <c r="S28" i="26"/>
  <c r="T28" i="26"/>
  <c r="V28" i="26"/>
  <c r="B29" i="26"/>
  <c r="C29" i="26"/>
  <c r="D29" i="26"/>
  <c r="E29" i="26"/>
  <c r="H29" i="26"/>
  <c r="I29" i="26"/>
  <c r="J29" i="26"/>
  <c r="L29" i="26"/>
  <c r="O29" i="26"/>
  <c r="P29" i="26"/>
  <c r="Q29" i="26"/>
  <c r="R29" i="26"/>
  <c r="S29" i="26"/>
  <c r="T29" i="26"/>
  <c r="V29" i="26"/>
  <c r="B30" i="26"/>
  <c r="C30" i="26"/>
  <c r="D30" i="26"/>
  <c r="E30" i="26"/>
  <c r="H30" i="26"/>
  <c r="I30" i="26"/>
  <c r="J30" i="26"/>
  <c r="L30" i="26"/>
  <c r="O30" i="26"/>
  <c r="P30" i="26"/>
  <c r="Q30" i="26"/>
  <c r="R30" i="26"/>
  <c r="S30" i="26"/>
  <c r="T30" i="26"/>
  <c r="V30" i="26"/>
  <c r="B31" i="26"/>
  <c r="C31" i="26"/>
  <c r="D31" i="26"/>
  <c r="E31" i="26"/>
  <c r="H31" i="26"/>
  <c r="I31" i="26"/>
  <c r="J31" i="26"/>
  <c r="L31" i="26"/>
  <c r="O31" i="26"/>
  <c r="P31" i="26"/>
  <c r="Q31" i="26"/>
  <c r="R31" i="26"/>
  <c r="S31" i="26"/>
  <c r="T31" i="26"/>
  <c r="V31" i="26"/>
  <c r="B32" i="26"/>
  <c r="C32" i="26"/>
  <c r="D32" i="26"/>
  <c r="E32" i="26"/>
  <c r="H32" i="26"/>
  <c r="I32" i="26"/>
  <c r="J32" i="26"/>
  <c r="L32" i="26"/>
  <c r="O32" i="26"/>
  <c r="P32" i="26"/>
  <c r="Q32" i="26"/>
  <c r="R32" i="26"/>
  <c r="S32" i="26"/>
  <c r="T32" i="26"/>
  <c r="V32" i="26"/>
  <c r="B33" i="26"/>
  <c r="C33" i="26"/>
  <c r="D33" i="26"/>
  <c r="E33" i="26"/>
  <c r="H33" i="26"/>
  <c r="I33" i="26"/>
  <c r="J33" i="26"/>
  <c r="L33" i="26"/>
  <c r="O33" i="26"/>
  <c r="P33" i="26"/>
  <c r="Q33" i="26"/>
  <c r="R33" i="26"/>
  <c r="S33" i="26"/>
  <c r="T33" i="26"/>
  <c r="V33" i="26"/>
  <c r="B34" i="26"/>
  <c r="C34" i="26"/>
  <c r="D34" i="26"/>
  <c r="E34" i="26"/>
  <c r="H34" i="26"/>
  <c r="I34" i="26"/>
  <c r="J34" i="26"/>
  <c r="L34" i="26"/>
  <c r="O34" i="26"/>
  <c r="P34" i="26"/>
  <c r="Q34" i="26"/>
  <c r="R34" i="26"/>
  <c r="S34" i="26"/>
  <c r="T34" i="26"/>
  <c r="V34" i="26"/>
  <c r="B35" i="26"/>
  <c r="C35" i="26"/>
  <c r="D35" i="26"/>
  <c r="E35" i="26"/>
  <c r="H35" i="26"/>
  <c r="I35" i="26"/>
  <c r="J35" i="26"/>
  <c r="L35" i="26"/>
  <c r="O35" i="26"/>
  <c r="P35" i="26"/>
  <c r="Q35" i="26"/>
  <c r="R35" i="26"/>
  <c r="S35" i="26"/>
  <c r="T35" i="26"/>
  <c r="V35" i="26"/>
  <c r="V3" i="26"/>
  <c r="T3" i="26"/>
  <c r="S3" i="26"/>
  <c r="R3" i="26"/>
  <c r="Q3" i="26"/>
  <c r="P3" i="26"/>
  <c r="O3" i="26"/>
  <c r="L3" i="26"/>
  <c r="J3" i="26"/>
  <c r="I3" i="26"/>
  <c r="H3" i="26"/>
  <c r="E3" i="26"/>
  <c r="D3" i="26"/>
  <c r="C3" i="26"/>
  <c r="B3" i="26"/>
  <c r="N23" i="6" l="1"/>
  <c r="N8" i="6"/>
  <c r="N3" i="6"/>
  <c r="N25" i="6"/>
  <c r="N22" i="6"/>
  <c r="N9" i="6"/>
  <c r="N24" i="6"/>
  <c r="N11" i="6"/>
  <c r="N19" i="6"/>
  <c r="N18" i="6"/>
  <c r="N35" i="6"/>
  <c r="N34" i="6"/>
  <c r="N10" i="6"/>
  <c r="N28" i="6"/>
  <c r="N30" i="6"/>
  <c r="N29" i="6"/>
  <c r="N31" i="6"/>
  <c r="N27" i="6"/>
  <c r="N15" i="6"/>
  <c r="N17" i="6"/>
  <c r="N33" i="6"/>
  <c r="N26" i="6"/>
  <c r="N5" i="6"/>
  <c r="N4" i="6"/>
  <c r="N12" i="6"/>
  <c r="N7" i="6"/>
  <c r="N20" i="6"/>
  <c r="N14" i="6"/>
  <c r="N16" i="6"/>
  <c r="N21" i="6"/>
  <c r="N6" i="6"/>
  <c r="N32" i="6"/>
  <c r="D36" i="19"/>
  <c r="E36" i="19"/>
  <c r="C36" i="19"/>
  <c r="H36" i="15" l="1"/>
  <c r="G36" i="15"/>
  <c r="D36" i="15"/>
  <c r="C36" i="15"/>
  <c r="E36" i="6"/>
  <c r="F36" i="6"/>
  <c r="G36" i="6"/>
  <c r="H36" i="6"/>
  <c r="I36" i="6"/>
  <c r="J36" i="6"/>
  <c r="K36" i="6"/>
  <c r="L36" i="6"/>
  <c r="D36" i="6"/>
  <c r="D36" i="12"/>
  <c r="F37" i="11"/>
  <c r="E37" i="11"/>
  <c r="D37" i="11"/>
  <c r="C36" i="6"/>
  <c r="D36" i="2"/>
  <c r="E36" i="2"/>
  <c r="E36" i="3"/>
  <c r="D36" i="3"/>
  <c r="C36" i="3"/>
  <c r="C36" i="2"/>
  <c r="C36" i="10"/>
  <c r="C36" i="12" l="1"/>
  <c r="C37" i="11"/>
  <c r="E36" i="10"/>
  <c r="D36" i="10"/>
  <c r="M3" i="26" l="1"/>
  <c r="M9" i="26"/>
  <c r="M29" i="26"/>
  <c r="M28" i="26"/>
  <c r="M23" i="26"/>
  <c r="M22" i="26"/>
  <c r="M10" i="26"/>
  <c r="M25" i="26"/>
  <c r="M16" i="26"/>
  <c r="M12" i="26"/>
  <c r="M4" i="26"/>
  <c r="M24" i="26"/>
  <c r="M6" i="26"/>
  <c r="M7" i="26"/>
  <c r="M14" i="26"/>
  <c r="M19" i="26"/>
  <c r="M21" i="26"/>
  <c r="M35" i="26"/>
  <c r="M8" i="26"/>
  <c r="M30" i="26"/>
  <c r="M13" i="26"/>
  <c r="M17" i="26"/>
  <c r="M26" i="26"/>
  <c r="M5" i="26"/>
  <c r="M34" i="26"/>
  <c r="M20" i="26"/>
  <c r="M11" i="26"/>
  <c r="M27" i="26"/>
  <c r="M32" i="26"/>
  <c r="M15" i="26"/>
  <c r="M33" i="26"/>
  <c r="M31" i="26"/>
  <c r="M18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kola bapuji</author>
  </authors>
  <commentList>
    <comment ref="A1" authorId="0" shapeId="0" xr:uid="{F4B663AC-FA4E-4C3C-8273-A02B1F956F85}">
      <text>
        <r>
          <rPr>
            <b/>
            <sz val="9"/>
            <color indexed="81"/>
            <rFont val="Tahoma"/>
            <family val="2"/>
          </rPr>
          <t>kola bapuji: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<sst xmlns="http://schemas.openxmlformats.org/spreadsheetml/2006/main" count="1661" uniqueCount="259">
  <si>
    <t>S.NO</t>
  </si>
  <si>
    <t>PS NAME</t>
  </si>
  <si>
    <t xml:space="preserve">Total Cases 
Reported </t>
  </si>
  <si>
    <t>No. of Cases
 required PME</t>
  </si>
  <si>
    <t>No. of Cases Requests Raised</t>
  </si>
  <si>
    <t>% Requests
Completed</t>
  </si>
  <si>
    <t>Raw Value</t>
  </si>
  <si>
    <t>Marks</t>
  </si>
  <si>
    <t>GRAND TOTAL</t>
  </si>
  <si>
    <t>No. of Cases
 required MLC</t>
  </si>
  <si>
    <t>% Requests</t>
  </si>
  <si>
    <t>Raw 
Value</t>
  </si>
  <si>
    <t>S.No</t>
  </si>
  <si>
    <t>Total Gandiva searches</t>
  </si>
  <si>
    <t>Total Sudarshan searches</t>
  </si>
  <si>
    <t>Gandiva
Raw Value</t>
  </si>
  <si>
    <t>Sudharshan Raw Value</t>
  </si>
  <si>
    <t>NATGRID
Raw Value</t>
  </si>
  <si>
    <t>Total</t>
  </si>
  <si>
    <t>NAT GRID - (Not applicable to police Station) GENERATED BETWEEN 
 09-09-2026 TO 15-09-2026 - (5% Marks)</t>
  </si>
  <si>
    <t>Police Station</t>
  </si>
  <si>
    <t>SHO  Remarks</t>
  </si>
  <si>
    <t>RAW Value</t>
  </si>
  <si>
    <t>Submitted</t>
  </si>
  <si>
    <t>PS</t>
  </si>
  <si>
    <t>FIR</t>
  </si>
  <si>
    <t>CDF</t>
  </si>
  <si>
    <t>ACS</t>
  </si>
  <si>
    <t>PSS</t>
  </si>
  <si>
    <t>CD PartI</t>
  </si>
  <si>
    <t>CD Part II</t>
  </si>
  <si>
    <t xml:space="preserve"> Charge Sheet</t>
  </si>
  <si>
    <t>Final Report</t>
  </si>
  <si>
    <t>Court Disposal</t>
  </si>
  <si>
    <t>41 Crpc</t>
  </si>
  <si>
    <t>Forms per FIR</t>
  </si>
  <si>
    <t>MARKS</t>
  </si>
  <si>
    <t>WEEK CCTNS  Application Usage Statistics (Forms 1-7) From 09-09-2026 TO 15-09-2026 - (2.5 % Marks)</t>
  </si>
  <si>
    <t>Result of Appeal</t>
  </si>
  <si>
    <t>Missing</t>
  </si>
  <si>
    <t>Abandoned Person entry</t>
  </si>
  <si>
    <t>Unidentified Dead Body</t>
  </si>
  <si>
    <t>Unnatural Death</t>
  </si>
  <si>
    <t>Gang Profile</t>
  </si>
  <si>
    <t>Member Details</t>
  </si>
  <si>
    <t>Gang Activity Details</t>
  </si>
  <si>
    <t>Unclaimed Property</t>
  </si>
  <si>
    <t>WEEK CCTNS  Application Usage Statistics (Forms 8-15)  From 09-09-2026 TO 15-09-2026 - (2.5 % Marks)</t>
  </si>
  <si>
    <t>PS Name</t>
  </si>
  <si>
    <t>No. of Zero FIRs Registered</t>
  </si>
  <si>
    <t>Pending to Transfer</t>
  </si>
  <si>
    <t>No. of Zero FIRs Received</t>
  </si>
  <si>
    <t>Pending to  Re-Register</t>
  </si>
  <si>
    <t>STATUS OF ZERO FIRs GENERATED BETWEEN  09-09-2026 TO 15-09-2026 - (5% Marks)</t>
  </si>
  <si>
    <t>Total Online Petitions</t>
  </si>
  <si>
    <t>Total Disposal Petitions</t>
  </si>
  <si>
    <t>Total Pending Petitions</t>
  </si>
  <si>
    <t>Pending %</t>
  </si>
  <si>
    <t>Grand Total</t>
  </si>
  <si>
    <t>Citizen Portal Petitions Status from 01-01-2015 to 15-09-2026 - (5 % - Marks)</t>
  </si>
  <si>
    <t>S.NO
(A)</t>
  </si>
  <si>
    <t>PS NAME
(B)</t>
  </si>
  <si>
    <t>TOTAL 
FIRS
( C )</t>
  </si>
  <si>
    <t>TOTAL SIDs
CREATED
( D )</t>
  </si>
  <si>
    <t>FIRS HAVING SID (F )</t>
  </si>
  <si>
    <t>FIRS NOT 
HAVING  SID (G)</t>
  </si>
  <si>
    <t>S.No.</t>
  </si>
  <si>
    <t xml:space="preserve">Total FIRS 
Registered </t>
  </si>
  <si>
    <t>Total no. of Alerts</t>
  </si>
  <si>
    <t>TOTAL NUMBER OF ALERTS</t>
  </si>
  <si>
    <t>SNO</t>
  </si>
  <si>
    <t>Total Block Requests Received</t>
  </si>
  <si>
    <t>Blocked Requests (as on report generation date)</t>
  </si>
  <si>
    <t>Unblocked Requests (as on report generation date)</t>
  </si>
  <si>
    <t>Total Traceability Generated (as on report generation date)</t>
  </si>
  <si>
    <t>Unrecovered Traceability Available (as on report generation date)</t>
  </si>
  <si>
    <t>Recovered handsets</t>
  </si>
  <si>
    <t>Accuracy score 
(as per recovery %)
Accuracy score = (Total Recovered handsets by PS so far x 100)/Totaltraceability generated so far
(* so far means cumulative figure at the time of computing the score)</t>
  </si>
  <si>
    <t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t>
  </si>
  <si>
    <t>Final Score 70: 30
Final score = Accuracy score * 0.7 + Volume score*0.3</t>
  </si>
  <si>
    <t xml:space="preserve">Usage Status of eProsecution application by the Police Stations </t>
  </si>
  <si>
    <t>POLICE STATION</t>
  </si>
  <si>
    <t>No. of cases
 eProc created</t>
  </si>
  <si>
    <t>Raw Value
if UI = 0 
( 100 points)</t>
  </si>
  <si>
    <t>FROM 09-09-2026 TO 15-09-2026 - (5 % Marks)</t>
  </si>
  <si>
    <t>Total FIRs Registered</t>
  </si>
  <si>
    <t>FIRs Consumed in Court</t>
  </si>
  <si>
    <t>FIR Raw Value</t>
  </si>
  <si>
    <t>Marks
(2.5)</t>
  </si>
  <si>
    <t>Charge sheets Filed</t>
  </si>
  <si>
    <t>Chargesheets Consumed in Court</t>
  </si>
  <si>
    <t>Charge Sheet Raw Value</t>
  </si>
  <si>
    <t>TOTAL MARKS
(5)</t>
  </si>
  <si>
    <t>Final Raw Value</t>
  </si>
  <si>
    <t>FIRs (ONLY BNS) Consumed in Courts Status  from 01-07-2024  to 15-09-2026- (5 % - Marks)</t>
  </si>
  <si>
    <t>E OFFICE - FILE DISPOSAL TIME TAKEN REPORT (DESIGNATION WISE) ( URBAN - 35 PER WEEK AND RURAL -21 PER WEEK)</t>
  </si>
  <si>
    <t>Period :</t>
  </si>
  <si>
    <t>Total Disposed Files</t>
  </si>
  <si>
    <t xml:space="preserve">
Total Disposed files Raw Value</t>
  </si>
  <si>
    <t xml:space="preserve">Total Disposed Files Marks
(2.5) </t>
  </si>
  <si>
    <t>Average Response time (Days HH:MM:SS)</t>
  </si>
  <si>
    <t>Hours Convertion
to 
(HH:MM:SS)</t>
  </si>
  <si>
    <t xml:space="preserve">
Average Response time
Raw Value</t>
  </si>
  <si>
    <t>Average Response time Marks</t>
  </si>
  <si>
    <t>Total 
E Office 
Raw Value</t>
  </si>
  <si>
    <t>Total Marks</t>
  </si>
  <si>
    <t>U/R</t>
  </si>
  <si>
    <t>Unit</t>
  </si>
  <si>
    <t>Total Employees</t>
  </si>
  <si>
    <t>No.of Mobile App Downloads</t>
  </si>
  <si>
    <t>APP Download
Raw Value</t>
  </si>
  <si>
    <t>Marks
for App (2.5)</t>
  </si>
  <si>
    <t>Total APRs Submitted</t>
  </si>
  <si>
    <t>APR Raw Value</t>
  </si>
  <si>
    <t>Marks for APR 
(2.5)</t>
  </si>
  <si>
    <t>Total Marks
(5)</t>
  </si>
  <si>
    <t>APOLIS - Mobile Application Downloads  as on  15-09-2026 - (5 % - Marks)</t>
  </si>
  <si>
    <t>Is Drone Available</t>
  </si>
  <si>
    <t>Hours</t>
  </si>
  <si>
    <t>Min</t>
  </si>
  <si>
    <t>Sec</t>
  </si>
  <si>
    <t>Total Seconds</t>
  </si>
  <si>
    <t>Flying  Value
(80%)</t>
  </si>
  <si>
    <t>Enforce
ment
( 20%)</t>
  </si>
  <si>
    <t>Reamrks</t>
  </si>
  <si>
    <t>Gambling -1</t>
  </si>
  <si>
    <t>Opend Drinking 2</t>
  </si>
  <si>
    <t>open driking 4</t>
  </si>
  <si>
    <t>open drinking 2</t>
  </si>
  <si>
    <t>Open drinking 4</t>
  </si>
  <si>
    <t>Missing Case Traced</t>
  </si>
  <si>
    <t>open drinking 1</t>
  </si>
  <si>
    <t xml:space="preserve"> DRONE FLYING HOURSFROM 09-09-2026 TO 15-09-2026 - (5 % Marks)</t>
  </si>
  <si>
    <t>Total Tabs
 Config</t>
  </si>
  <si>
    <t>ERU Connected Live</t>
  </si>
  <si>
    <t>Dis-connected Tabs</t>
  </si>
  <si>
    <t>% of Disconnected Tabs</t>
  </si>
  <si>
    <t>TOTAL</t>
  </si>
  <si>
    <t xml:space="preserve"> DIAL 112 TABS WORKING INFORMATION FROM 09-09-2026 TO 15-09-2026 - (5 % Marks)</t>
  </si>
  <si>
    <t>Total calls Assigned to PS</t>
  </si>
  <si>
    <t>No. of Calls Assigned to Tabs by PS</t>
  </si>
  <si>
    <t>No. of Calls not Assigned to Tabs by PS</t>
  </si>
  <si>
    <t xml:space="preserve"> Average Response Time
(HH:MM:SS)</t>
  </si>
  <si>
    <t xml:space="preserve"> DIAL 112 AVERAGE RESPONSE TIME FROM 09-09-2026 TO 15-09-2026 - (5 % Marks)</t>
  </si>
  <si>
    <t>RAW VALUE</t>
  </si>
  <si>
    <t xml:space="preserve"> CCTV 360 LOGIN COUNTS( WEB AND MOBILE APPS )INFORMATION FROM 09-09-2026 TO 15-09-2026 - (5 % MARKS)</t>
  </si>
  <si>
    <t>Marks
(5%)</t>
  </si>
  <si>
    <t>NEWS 360 INFORMATION FROM 09-09-2026 TO 15-09-2026 - (5 % MARKS)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</si>
  <si>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</si>
  <si>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</si>
  <si>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</si>
  <si>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</si>
  <si>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</si>
  <si>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</si>
  <si>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</si>
  <si>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</si>
  <si>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</si>
  <si>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</si>
  <si>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</si>
  <si>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</si>
  <si>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</si>
  <si>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</si>
  <si>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</si>
  <si>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</si>
  <si>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</si>
  <si>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</si>
  <si>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</si>
  <si>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</si>
  <si>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</si>
  <si>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</si>
  <si>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</si>
  <si>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</si>
  <si>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</si>
  <si>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</si>
  <si>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</si>
  <si>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</si>
  <si>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</si>
  <si>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</si>
  <si>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</si>
  <si>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</si>
  <si>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</si>
  <si>
    <t>e FSL INFORMATION FROM 09-09-2026 TO 15-09-2026 - (5 % MARKS)</t>
  </si>
  <si>
    <t>UC3 INFORMATION FROM 09-09-2026 TO 15-09-2026 - 2.5 % MARKS)</t>
  </si>
  <si>
    <t>Marks
(2.5%)</t>
  </si>
  <si>
    <t>UC4 INFORMATION FROM 09-09-2026 TO 15-09-2026 - (2.5 % MARKS)</t>
  </si>
  <si>
    <t>MEDLEAPR PME CASES REQUIRED VS GENERATED BETWEEN  09-09-2026 TO 15-09-2026 - (2.5% Marks)</t>
  </si>
  <si>
    <t>MEDLEAPR MLC CASES REQUIRED VS GENERATED BETWEEN  09-09-2026 TO 15-09-2026 - (2.5% Marks)</t>
  </si>
  <si>
    <t>DGP DASH BOARD ENTRIES PS WISE - ENTRIES MADE ON LAST SUNDAY (13-09-2026) (2.5% Marks)</t>
  </si>
  <si>
    <t>CRI-MAC APPLICATION ALERTS ENTRY FROM 09-09-2026 TO 15-09-2026 (5 % - Marks)</t>
  </si>
  <si>
    <t>E SAKSHYA COMPLIANCE %
F*100/C
RAW VALUE</t>
  </si>
  <si>
    <t>Total
 Cases Charged</t>
  </si>
  <si>
    <t>Total
 Cases Reported</t>
  </si>
  <si>
    <t>No. of cases
 eFSLcreated</t>
  </si>
  <si>
    <t>00.00.44</t>
  </si>
  <si>
    <t>00.03.13</t>
  </si>
  <si>
    <t>00.02.57</t>
  </si>
  <si>
    <t>00.00.00</t>
  </si>
  <si>
    <t>00.03.37</t>
  </si>
  <si>
    <t>00.02.19</t>
  </si>
  <si>
    <t>00.02.16</t>
  </si>
  <si>
    <t>00.05.16</t>
  </si>
  <si>
    <t>00.02.10</t>
  </si>
  <si>
    <t>00.04.17</t>
  </si>
  <si>
    <t>00.06.43</t>
  </si>
  <si>
    <t>00.02.22</t>
  </si>
  <si>
    <t>00.04.03</t>
  </si>
  <si>
    <t>00.00.28</t>
  </si>
  <si>
    <t>00.02.45</t>
  </si>
  <si>
    <t>00.02.08</t>
  </si>
  <si>
    <t>00.01.06</t>
  </si>
  <si>
    <t>00.01.03</t>
  </si>
  <si>
    <t>00.02.41</t>
  </si>
  <si>
    <t>00.03.44</t>
  </si>
  <si>
    <t>00.05.17</t>
  </si>
  <si>
    <t>00.02.03</t>
  </si>
  <si>
    <t>00.03.48</t>
  </si>
  <si>
    <t>00.03.07</t>
  </si>
  <si>
    <t>00.03.16</t>
  </si>
  <si>
    <t>00.03.05</t>
  </si>
  <si>
    <t>00.02.44</t>
  </si>
  <si>
    <t>00.07.49</t>
  </si>
  <si>
    <t>00.03.53</t>
  </si>
  <si>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</si>
  <si>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</si>
  <si>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</si>
  <si>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</si>
  <si>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</si>
  <si>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</si>
  <si>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</si>
  <si>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</si>
  <si>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</si>
  <si>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</si>
  <si>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</si>
  <si>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</si>
  <si>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</si>
  <si>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</si>
  <si>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</si>
  <si>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</si>
  <si>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</si>
  <si>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</si>
  <si>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</si>
  <si>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</si>
  <si>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</si>
  <si>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</si>
  <si>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</si>
  <si>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eFSL</t>
  </si>
  <si>
    <t>UC3</t>
  </si>
  <si>
    <t>UC4</t>
  </si>
  <si>
    <t>NA</t>
  </si>
  <si>
    <t>R</t>
  </si>
  <si>
    <t>U</t>
  </si>
  <si>
    <t>0 days 00:43:21</t>
  </si>
  <si>
    <t>YES</t>
  </si>
  <si>
    <t>WEB</t>
  </si>
  <si>
    <t>MOBILE</t>
  </si>
  <si>
    <t>NO</t>
  </si>
  <si>
    <t>PS wise CCTNS Application Usage Statistics From 01-01-2016 to 15-09-2026 - (2.5% Marks)</t>
  </si>
  <si>
    <t xml:space="preserve"> E SAKSHYA IDS CREATED FOR FIRS FROM 01-07-2024  TO 15-09-2026- (5 % - Marks)</t>
  </si>
  <si>
    <t>CEIR PS WISE TRACIBILITY, RECOVERIES, ACCURACY SCORE , VOLUME SCORE , FINAL SCORE FROM 01-01-2025 TO TILL DATE (DOT - NEW GUIDELINES)  - (5% -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</si>
</sst>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12"/>
      <name val="sans-serif"/>
    </font>
    <font>
      <b/>
      <sz val="12"/>
      <name val="Arial"/>
      <family val="2"/>
    </font>
    <font>
      <b/>
      <sz val="11"/>
      <name val="sans-serif"/>
    </font>
    <font>
      <sz val="10"/>
      <name val="sans-serif"/>
    </font>
    <font>
      <sz val="10"/>
      <color indexed="8"/>
      <name val="sans-serif"/>
    </font>
    <font>
      <b/>
      <sz val="16"/>
      <color theme="1"/>
      <name val="Calbri"/>
    </font>
    <font>
      <b/>
      <sz val="12"/>
      <color rgb="FF000000"/>
      <name val="Calbri"/>
    </font>
    <font>
      <b/>
      <sz val="12"/>
      <color theme="1"/>
      <name val="Calbri"/>
    </font>
    <font>
      <sz val="12"/>
      <color theme="1"/>
      <name val="Calbri"/>
    </font>
    <font>
      <sz val="12"/>
      <color rgb="FF000000"/>
      <name val="Calbri"/>
    </font>
    <font>
      <sz val="12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b/>
      <sz val="12"/>
      <color rgb="FF1E40AF"/>
      <name val="Calibri"/>
      <family val="2"/>
    </font>
    <font>
      <b/>
      <sz val="12"/>
      <color rgb="FFFFFFFF"/>
      <name val="Calibri"/>
      <family val="2"/>
    </font>
    <font>
      <b/>
      <sz val="12"/>
      <color rgb="FF7030A0"/>
      <name val="Calibri"/>
      <family val="2"/>
    </font>
    <font>
      <sz val="11"/>
      <color rgb="FF7030A0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10"/>
      <color rgb="FF14532D"/>
      <name val="Segoe UI"/>
      <family val="2"/>
    </font>
    <font>
      <b/>
      <sz val="7"/>
      <color rgb="FF000000"/>
      <name val="Segoe UI"/>
      <family val="2"/>
    </font>
    <font>
      <b/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charset val="134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FBD1"/>
        <bgColor indexed="64"/>
      </patternFill>
    </fill>
    <fill>
      <patternFill patternType="solid">
        <fgColor rgb="FFE8EEF9"/>
      </patternFill>
    </fill>
    <fill>
      <patternFill patternType="solid">
        <fgColor rgb="FF1E40AF"/>
      </patternFill>
    </fill>
    <fill>
      <patternFill patternType="solid">
        <fgColor indexed="9"/>
        <bgColor indexed="64"/>
      </patternFill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7" fillId="0" borderId="0"/>
    <xf numFmtId="0" fontId="24" fillId="0" borderId="0"/>
    <xf numFmtId="0" fontId="24" fillId="0" borderId="0"/>
    <xf numFmtId="0" fontId="24" fillId="0" borderId="0"/>
  </cellStyleXfs>
  <cellXfs count="2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6" fillId="6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1"/>
    <xf numFmtId="0" fontId="9" fillId="2" borderId="1" xfId="1" applyFont="1" applyFill="1" applyBorder="1" applyAlignment="1">
      <alignment horizontal="center" vertical="center" wrapText="1"/>
    </xf>
    <xf numFmtId="0" fontId="10" fillId="0" borderId="0" xfId="1" applyFont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1" xfId="1" applyFont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7" fillId="0" borderId="1" xfId="1" applyBorder="1"/>
    <xf numFmtId="0" fontId="7" fillId="0" borderId="0" xfId="1" applyAlignment="1">
      <alignment horizontal="center"/>
    </xf>
    <xf numFmtId="0" fontId="7" fillId="0" borderId="0" xfId="1" applyAlignment="1">
      <alignment horizontal="left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19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" fontId="23" fillId="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12" borderId="1" xfId="0" applyFont="1" applyFill="1" applyBorder="1" applyAlignment="1">
      <alignment horizontal="center" vertical="center" wrapText="1"/>
    </xf>
    <xf numFmtId="0" fontId="24" fillId="0" borderId="0" xfId="2"/>
    <xf numFmtId="0" fontId="1" fillId="10" borderId="1" xfId="2" applyFont="1" applyFill="1" applyBorder="1" applyAlignment="1">
      <alignment horizontal="center" vertical="center" wrapText="1"/>
    </xf>
    <xf numFmtId="0" fontId="1" fillId="10" borderId="1" xfId="2" applyFont="1" applyFill="1" applyBorder="1" applyAlignment="1">
      <alignment horizontal="left" vertical="center" wrapText="1"/>
    </xf>
    <xf numFmtId="2" fontId="1" fillId="10" borderId="1" xfId="2" applyNumberFormat="1" applyFont="1" applyFill="1" applyBorder="1" applyAlignment="1">
      <alignment horizontal="center" vertical="center" wrapText="1"/>
    </xf>
    <xf numFmtId="0" fontId="1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wrapText="1"/>
    </xf>
    <xf numFmtId="0" fontId="24" fillId="0" borderId="1" xfId="2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4" fillId="0" borderId="0" xfId="2" applyAlignment="1">
      <alignment vertical="center"/>
    </xf>
    <xf numFmtId="0" fontId="25" fillId="12" borderId="1" xfId="4" applyFont="1" applyFill="1" applyBorder="1" applyAlignment="1">
      <alignment horizontal="center" vertical="center"/>
    </xf>
    <xf numFmtId="0" fontId="24" fillId="0" borderId="0" xfId="2" applyAlignment="1">
      <alignment horizontal="center"/>
    </xf>
    <xf numFmtId="0" fontId="24" fillId="0" borderId="0" xfId="4" applyAlignment="1">
      <alignment horizontal="left"/>
    </xf>
    <xf numFmtId="0" fontId="24" fillId="0" borderId="0" xfId="4" applyAlignment="1">
      <alignment horizontal="center"/>
    </xf>
    <xf numFmtId="2" fontId="24" fillId="0" borderId="0" xfId="4" applyNumberFormat="1" applyAlignment="1">
      <alignment horizontal="center"/>
    </xf>
    <xf numFmtId="0" fontId="24" fillId="0" borderId="0" xfId="2" applyAlignment="1">
      <alignment horizontal="left"/>
    </xf>
    <xf numFmtId="2" fontId="24" fillId="0" borderId="0" xfId="2" applyNumberFormat="1" applyAlignment="1">
      <alignment horizontal="center"/>
    </xf>
    <xf numFmtId="0" fontId="26" fillId="9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31" fillId="15" borderId="1" xfId="0" applyFont="1" applyFill="1" applyBorder="1" applyAlignment="1">
      <alignment horizontal="center" vertical="center" wrapText="1"/>
    </xf>
    <xf numFmtId="0" fontId="31" fillId="15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21" fontId="13" fillId="0" borderId="1" xfId="0" applyNumberFormat="1" applyFont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6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wrapText="1"/>
    </xf>
    <xf numFmtId="0" fontId="8" fillId="12" borderId="1" xfId="0" applyFont="1" applyFill="1" applyBorder="1" applyAlignment="1">
      <alignment horizontal="center" vertical="center"/>
    </xf>
    <xf numFmtId="164" fontId="8" fillId="12" borderId="1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2" fontId="44" fillId="0" borderId="1" xfId="0" applyNumberFormat="1" applyFont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2" fontId="45" fillId="17" borderId="1" xfId="0" applyNumberFormat="1" applyFont="1" applyFill="1" applyBorder="1" applyAlignment="1">
      <alignment horizontal="center" vertical="center"/>
    </xf>
    <xf numFmtId="0" fontId="46" fillId="18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left" vertical="center" wrapText="1"/>
    </xf>
    <xf numFmtId="0" fontId="47" fillId="4" borderId="1" xfId="0" applyFont="1" applyFill="1" applyBorder="1" applyAlignment="1">
      <alignment horizontal="center" vertical="center" wrapText="1"/>
    </xf>
    <xf numFmtId="2" fontId="46" fillId="18" borderId="1" xfId="0" applyNumberFormat="1" applyFont="1" applyFill="1" applyBorder="1" applyAlignment="1">
      <alignment horizontal="center" vertical="center" wrapText="1"/>
    </xf>
    <xf numFmtId="0" fontId="48" fillId="0" borderId="0" xfId="0" applyFont="1"/>
    <xf numFmtId="0" fontId="1" fillId="12" borderId="2" xfId="0" applyFont="1" applyFill="1" applyBorder="1" applyAlignment="1">
      <alignment horizontal="center" vertical="center"/>
    </xf>
    <xf numFmtId="2" fontId="1" fillId="12" borderId="2" xfId="0" applyNumberFormat="1" applyFont="1" applyFill="1" applyBorder="1" applyAlignment="1">
      <alignment horizontal="center" vertical="center"/>
    </xf>
    <xf numFmtId="0" fontId="49" fillId="19" borderId="1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 wrapText="1"/>
    </xf>
    <xf numFmtId="0" fontId="49" fillId="19" borderId="1" xfId="0" applyFont="1" applyFill="1" applyBorder="1" applyAlignment="1">
      <alignment horizontal="center" vertical="center" wrapText="1"/>
    </xf>
    <xf numFmtId="2" fontId="1" fillId="12" borderId="1" xfId="0" applyNumberFormat="1" applyFont="1" applyFill="1" applyBorder="1" applyAlignment="1">
      <alignment horizontal="center" vertical="center"/>
    </xf>
    <xf numFmtId="0" fontId="50" fillId="20" borderId="1" xfId="0" applyFont="1" applyFill="1" applyBorder="1" applyAlignment="1">
      <alignment horizontal="left" vertical="center" wrapText="1"/>
    </xf>
    <xf numFmtId="2" fontId="51" fillId="21" borderId="1" xfId="0" applyNumberFormat="1" applyFont="1" applyFill="1" applyBorder="1" applyAlignment="1">
      <alignment horizontal="center" textRotation="90"/>
    </xf>
    <xf numFmtId="2" fontId="51" fillId="21" borderId="1" xfId="0" applyNumberFormat="1" applyFont="1" applyFill="1" applyBorder="1" applyAlignment="1">
      <alignment horizontal="center" textRotation="90" wrapText="1"/>
    </xf>
    <xf numFmtId="0" fontId="52" fillId="12" borderId="1" xfId="0" applyFont="1" applyFill="1" applyBorder="1" applyAlignment="1">
      <alignment horizontal="left" vertical="center" wrapText="1"/>
    </xf>
    <xf numFmtId="2" fontId="53" fillId="2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10" fontId="54" fillId="12" borderId="1" xfId="0" applyNumberFormat="1" applyFont="1" applyFill="1" applyBorder="1" applyAlignment="1">
      <alignment horizontal="center" vertical="center" wrapText="1"/>
    </xf>
    <xf numFmtId="9" fontId="54" fillId="12" borderId="1" xfId="0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36" fillId="12" borderId="1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center" wrapText="1"/>
    </xf>
    <xf numFmtId="14" fontId="43" fillId="15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 wrapText="1"/>
    </xf>
    <xf numFmtId="2" fontId="22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" fontId="17" fillId="5" borderId="1" xfId="0" applyNumberFormat="1" applyFont="1" applyFill="1" applyBorder="1" applyAlignment="1">
      <alignment horizontal="center" vertical="center" wrapText="1"/>
    </xf>
    <xf numFmtId="1" fontId="18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2" fontId="24" fillId="5" borderId="1" xfId="2" applyNumberFormat="1" applyFill="1" applyBorder="1" applyAlignment="1">
      <alignment horizontal="center" vertical="center"/>
    </xf>
    <xf numFmtId="0" fontId="25" fillId="5" borderId="1" xfId="4" applyFont="1" applyFill="1" applyBorder="1" applyAlignment="1">
      <alignment horizontal="center" vertical="center"/>
    </xf>
    <xf numFmtId="2" fontId="25" fillId="5" borderId="1" xfId="4" applyNumberFormat="1" applyFont="1" applyFill="1" applyBorder="1" applyAlignment="1">
      <alignment horizontal="center" vertical="center"/>
    </xf>
    <xf numFmtId="2" fontId="27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28" fillId="5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2" fontId="32" fillId="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2" fontId="31" fillId="5" borderId="1" xfId="0" applyNumberFormat="1" applyFont="1" applyFill="1" applyBorder="1" applyAlignment="1">
      <alignment horizontal="center" vertical="center" wrapText="1"/>
    </xf>
    <xf numFmtId="21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2" fontId="38" fillId="5" borderId="1" xfId="0" applyNumberFormat="1" applyFont="1" applyFill="1" applyBorder="1" applyAlignment="1">
      <alignment horizontal="center" vertical="center" wrapText="1"/>
    </xf>
    <xf numFmtId="2" fontId="37" fillId="5" borderId="1" xfId="0" applyNumberFormat="1" applyFont="1" applyFill="1" applyBorder="1" applyAlignment="1">
      <alignment horizontal="center" vertical="center"/>
    </xf>
    <xf numFmtId="2" fontId="36" fillId="5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2" fontId="40" fillId="5" borderId="1" xfId="0" applyNumberFormat="1" applyFont="1" applyFill="1" applyBorder="1" applyAlignment="1">
      <alignment horizontal="center" vertical="center" wrapText="1"/>
    </xf>
    <xf numFmtId="2" fontId="41" fillId="5" borderId="1" xfId="0" applyNumberFormat="1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25" fillId="13" borderId="1" xfId="2" applyFont="1" applyFill="1" applyBorder="1" applyAlignment="1">
      <alignment horizontal="center" vertical="center"/>
    </xf>
    <xf numFmtId="0" fontId="25" fillId="12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4" fillId="16" borderId="1" xfId="0" applyFont="1" applyFill="1" applyBorder="1" applyAlignment="1">
      <alignment horizontal="center" vertical="center" wrapText="1"/>
    </xf>
    <xf numFmtId="0" fontId="36" fillId="12" borderId="3" xfId="0" applyFont="1" applyFill="1" applyBorder="1" applyAlignment="1">
      <alignment horizontal="center" vertical="center" wrapText="1"/>
    </xf>
    <xf numFmtId="0" fontId="36" fillId="1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/>
    </xf>
    <xf numFmtId="0" fontId="41" fillId="2" borderId="5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 wrapText="1"/>
    </xf>
    <xf numFmtId="0" fontId="42" fillId="11" borderId="9" xfId="0" applyFont="1" applyFill="1" applyBorder="1" applyAlignment="1">
      <alignment horizontal="center" vertical="center"/>
    </xf>
    <xf numFmtId="0" fontId="42" fillId="11" borderId="10" xfId="0" applyFont="1" applyFill="1" applyBorder="1" applyAlignment="1">
      <alignment horizontal="center" vertical="center"/>
    </xf>
    <xf numFmtId="14" fontId="43" fillId="15" borderId="1" xfId="0" applyNumberFormat="1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</cellXfs>
  <cellStyles count="5">
    <cellStyle name="Normal" xfId="0" builtinId="0"/>
    <cellStyle name="Normal 2 2" xfId="3" xr:uid="{59C410C4-EA45-4CE5-8612-9845A2CDF688}"/>
    <cellStyle name="Normal 3" xfId="4" xr:uid="{01D51DB6-1273-4A82-BBCC-F04A75485BB5}"/>
    <cellStyle name="Normal 4" xfId="1" xr:uid="{3DEC9DC1-A2D1-4345-B0B1-4B2933062C56}"/>
    <cellStyle name="Normal 8 2" xfId="2" xr:uid="{2DC68263-12BA-4AC7-A3A5-474F86CB6236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BB89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6B0F-689A-4771-9DCA-9A79BC5747B5}">
  <sheetPr codeName="Sheet3">
    <tabColor rgb="FFFFFF00"/>
    <pageSetUpPr fitToPage="1"/>
  </sheetPr>
  <dimension ref="A1:H36"/>
  <sheetViews>
    <sheetView zoomScaleNormal="100" workbookViewId="0">
      <pane ySplit="2" topLeftCell="A15" activePane="bottomLeft" state="frozen"/>
      <selection pane="bottomLeft" activeCell="H3" sqref="H3:H35"/>
    </sheetView>
  </sheetViews>
  <sheetFormatPr defaultRowHeight="14.4"/>
  <cols>
    <col min="1" max="1" width="5.44140625" style="12" bestFit="1" customWidth="1"/>
    <col min="2" max="2" width="20.5546875" customWidth="1"/>
    <col min="3" max="3" width="10.44140625" style="12" bestFit="1" customWidth="1"/>
    <col min="4" max="4" width="13.44140625" style="12" customWidth="1"/>
    <col min="5" max="5" width="14.5546875" style="12" customWidth="1"/>
    <col min="6" max="6" width="11.88671875" customWidth="1"/>
    <col min="7" max="7" width="12.5546875" style="12" customWidth="1"/>
    <col min="8" max="8" width="8.88671875" style="13" customWidth="1"/>
  </cols>
  <sheetData>
    <row r="1" spans="1:8" ht="27.6" customHeight="1">
      <c r="A1" s="196" t="s">
        <v>185</v>
      </c>
      <c r="B1" s="196"/>
      <c r="C1" s="196"/>
      <c r="D1" s="196"/>
      <c r="E1" s="196"/>
      <c r="F1" s="196"/>
      <c r="G1" s="196"/>
      <c r="H1" s="196"/>
    </row>
    <row r="2" spans="1:8" ht="45.6" customHeight="1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5" t="s">
        <v>5</v>
      </c>
      <c r="G2" s="134" t="s">
        <v>6</v>
      </c>
      <c r="H2" s="147" t="s">
        <v>7</v>
      </c>
    </row>
    <row r="3" spans="1:8" s="10" customFormat="1" ht="23.1" customHeight="1">
      <c r="A3" s="8">
        <v>1</v>
      </c>
      <c r="B3" s="124" t="s">
        <v>148</v>
      </c>
      <c r="C3" s="9">
        <v>0</v>
      </c>
      <c r="D3" s="9">
        <v>0</v>
      </c>
      <c r="E3" s="9">
        <v>0</v>
      </c>
      <c r="F3" s="145" t="str">
        <f>IF(AND(D3=0),"100.00",IF(AND(E3*100/D3&gt;100),"100.00",(E3*100/D3)))</f>
        <v>100.00</v>
      </c>
      <c r="G3" s="150" t="str">
        <f>F3</f>
        <v>100.00</v>
      </c>
      <c r="H3" s="146">
        <f>G3*2.5%</f>
        <v>2.5</v>
      </c>
    </row>
    <row r="4" spans="1:8" s="10" customFormat="1" ht="23.1" customHeight="1">
      <c r="A4" s="8">
        <v>2</v>
      </c>
      <c r="B4" s="124" t="s">
        <v>149</v>
      </c>
      <c r="C4" s="9">
        <v>3</v>
      </c>
      <c r="D4" s="9">
        <v>3</v>
      </c>
      <c r="E4" s="9">
        <v>3</v>
      </c>
      <c r="F4" s="145">
        <f t="shared" ref="F4:F35" si="0">IF(AND(D4=0),"100.00",IF(AND(E4*100/D4&gt;100),"100.00",(E4*100/D4)))</f>
        <v>100</v>
      </c>
      <c r="G4" s="150">
        <f t="shared" ref="G4:G35" si="1">F4</f>
        <v>100</v>
      </c>
      <c r="H4" s="146">
        <f t="shared" ref="H4:H35" si="2">G4*2.5%</f>
        <v>2.5</v>
      </c>
    </row>
    <row r="5" spans="1:8" s="10" customFormat="1" ht="23.1" customHeight="1">
      <c r="A5" s="8">
        <v>3</v>
      </c>
      <c r="B5" s="124" t="s">
        <v>150</v>
      </c>
      <c r="C5" s="9">
        <v>0</v>
      </c>
      <c r="D5" s="9">
        <v>0</v>
      </c>
      <c r="E5" s="9">
        <v>0</v>
      </c>
      <c r="F5" s="145" t="str">
        <f t="shared" si="0"/>
        <v>100.00</v>
      </c>
      <c r="G5" s="150" t="str">
        <f t="shared" si="1"/>
        <v>100.00</v>
      </c>
      <c r="H5" s="146">
        <f t="shared" si="2"/>
        <v>2.5</v>
      </c>
    </row>
    <row r="6" spans="1:8" s="10" customFormat="1" ht="23.1" customHeight="1">
      <c r="A6" s="8">
        <v>4</v>
      </c>
      <c r="B6" s="124" t="s">
        <v>151</v>
      </c>
      <c r="C6" s="9">
        <v>0</v>
      </c>
      <c r="D6" s="9">
        <v>0</v>
      </c>
      <c r="E6" s="9">
        <v>0</v>
      </c>
      <c r="F6" s="145" t="str">
        <f t="shared" si="0"/>
        <v>100.00</v>
      </c>
      <c r="G6" s="150" t="str">
        <f t="shared" si="1"/>
        <v>100.00</v>
      </c>
      <c r="H6" s="146">
        <f t="shared" si="2"/>
        <v>2.5</v>
      </c>
    </row>
    <row r="7" spans="1:8" s="10" customFormat="1" ht="23.1" customHeight="1">
      <c r="A7" s="8">
        <v>5</v>
      </c>
      <c r="B7" s="124" t="s">
        <v>152</v>
      </c>
      <c r="C7" s="9">
        <v>3</v>
      </c>
      <c r="D7" s="9">
        <v>3</v>
      </c>
      <c r="E7" s="9">
        <v>3</v>
      </c>
      <c r="F7" s="145">
        <f t="shared" si="0"/>
        <v>100</v>
      </c>
      <c r="G7" s="150">
        <f t="shared" si="1"/>
        <v>100</v>
      </c>
      <c r="H7" s="146">
        <f t="shared" si="2"/>
        <v>2.5</v>
      </c>
    </row>
    <row r="8" spans="1:8" s="10" customFormat="1" ht="23.1" customHeight="1">
      <c r="A8" s="8">
        <v>6</v>
      </c>
      <c r="B8" s="124" t="s">
        <v>153</v>
      </c>
      <c r="C8" s="9">
        <v>3</v>
      </c>
      <c r="D8" s="9">
        <v>3</v>
      </c>
      <c r="E8" s="9">
        <v>3</v>
      </c>
      <c r="F8" s="145">
        <f t="shared" si="0"/>
        <v>100</v>
      </c>
      <c r="G8" s="150">
        <f t="shared" si="1"/>
        <v>100</v>
      </c>
      <c r="H8" s="146">
        <f t="shared" si="2"/>
        <v>2.5</v>
      </c>
    </row>
    <row r="9" spans="1:8" s="10" customFormat="1" ht="23.1" customHeight="1">
      <c r="A9" s="8">
        <v>7</v>
      </c>
      <c r="B9" s="124" t="s">
        <v>154</v>
      </c>
      <c r="C9" s="9">
        <v>0</v>
      </c>
      <c r="D9" s="9">
        <v>0</v>
      </c>
      <c r="E9" s="9">
        <v>0</v>
      </c>
      <c r="F9" s="145" t="str">
        <f t="shared" si="0"/>
        <v>100.00</v>
      </c>
      <c r="G9" s="150" t="str">
        <f t="shared" si="1"/>
        <v>100.00</v>
      </c>
      <c r="H9" s="146">
        <f t="shared" si="2"/>
        <v>2.5</v>
      </c>
    </row>
    <row r="10" spans="1:8" s="10" customFormat="1" ht="23.1" customHeight="1">
      <c r="A10" s="8">
        <v>8</v>
      </c>
      <c r="B10" s="124" t="s">
        <v>155</v>
      </c>
      <c r="C10" s="9">
        <v>0</v>
      </c>
      <c r="D10" s="9">
        <v>0</v>
      </c>
      <c r="E10" s="9">
        <v>0</v>
      </c>
      <c r="F10" s="145" t="str">
        <f t="shared" si="0"/>
        <v>100.00</v>
      </c>
      <c r="G10" s="150" t="str">
        <f t="shared" si="1"/>
        <v>100.00</v>
      </c>
      <c r="H10" s="146">
        <f t="shared" si="2"/>
        <v>2.5</v>
      </c>
    </row>
    <row r="11" spans="1:8" s="10" customFormat="1" ht="23.1" customHeight="1">
      <c r="A11" s="8">
        <v>9</v>
      </c>
      <c r="B11" s="124" t="s">
        <v>156</v>
      </c>
      <c r="C11" s="9">
        <v>0</v>
      </c>
      <c r="D11" s="9">
        <v>0</v>
      </c>
      <c r="E11" s="9">
        <v>0</v>
      </c>
      <c r="F11" s="145" t="str">
        <f t="shared" si="0"/>
        <v>100.00</v>
      </c>
      <c r="G11" s="150" t="str">
        <f t="shared" si="1"/>
        <v>100.00</v>
      </c>
      <c r="H11" s="146">
        <f t="shared" si="2"/>
        <v>2.5</v>
      </c>
    </row>
    <row r="12" spans="1:8" s="10" customFormat="1" ht="23.1" customHeight="1">
      <c r="A12" s="8">
        <v>10</v>
      </c>
      <c r="B12" s="124" t="s">
        <v>157</v>
      </c>
      <c r="C12" s="9">
        <v>0</v>
      </c>
      <c r="D12" s="9">
        <v>0</v>
      </c>
      <c r="E12" s="9">
        <v>0</v>
      </c>
      <c r="F12" s="145" t="str">
        <f t="shared" si="0"/>
        <v>100.00</v>
      </c>
      <c r="G12" s="150" t="str">
        <f t="shared" si="1"/>
        <v>100.00</v>
      </c>
      <c r="H12" s="146">
        <f t="shared" si="2"/>
        <v>2.5</v>
      </c>
    </row>
    <row r="13" spans="1:8" s="10" customFormat="1" ht="23.1" customHeight="1">
      <c r="A13" s="8">
        <v>11</v>
      </c>
      <c r="B13" s="124" t="s">
        <v>158</v>
      </c>
      <c r="C13" s="9">
        <v>0</v>
      </c>
      <c r="D13" s="9">
        <v>0</v>
      </c>
      <c r="E13" s="9">
        <v>0</v>
      </c>
      <c r="F13" s="145" t="str">
        <f t="shared" si="0"/>
        <v>100.00</v>
      </c>
      <c r="G13" s="150" t="str">
        <f t="shared" si="1"/>
        <v>100.00</v>
      </c>
      <c r="H13" s="146">
        <f t="shared" si="2"/>
        <v>2.5</v>
      </c>
    </row>
    <row r="14" spans="1:8" s="10" customFormat="1" ht="23.1" customHeight="1">
      <c r="A14" s="8">
        <v>12</v>
      </c>
      <c r="B14" s="124" t="s">
        <v>159</v>
      </c>
      <c r="C14" s="9">
        <v>0</v>
      </c>
      <c r="D14" s="9">
        <v>0</v>
      </c>
      <c r="E14" s="9">
        <v>0</v>
      </c>
      <c r="F14" s="145" t="str">
        <f t="shared" si="0"/>
        <v>100.00</v>
      </c>
      <c r="G14" s="150" t="str">
        <f t="shared" si="1"/>
        <v>100.00</v>
      </c>
      <c r="H14" s="146">
        <f t="shared" si="2"/>
        <v>2.5</v>
      </c>
    </row>
    <row r="15" spans="1:8" s="10" customFormat="1" ht="23.1" customHeight="1">
      <c r="A15" s="8">
        <v>13</v>
      </c>
      <c r="B15" s="124" t="s">
        <v>160</v>
      </c>
      <c r="C15" s="9">
        <v>1</v>
      </c>
      <c r="D15" s="9">
        <v>1</v>
      </c>
      <c r="E15" s="9">
        <v>1</v>
      </c>
      <c r="F15" s="145">
        <f t="shared" si="0"/>
        <v>100</v>
      </c>
      <c r="G15" s="150">
        <f t="shared" si="1"/>
        <v>100</v>
      </c>
      <c r="H15" s="146">
        <f t="shared" si="2"/>
        <v>2.5</v>
      </c>
    </row>
    <row r="16" spans="1:8" s="10" customFormat="1" ht="23.1" customHeight="1">
      <c r="A16" s="8">
        <v>14</v>
      </c>
      <c r="B16" s="124" t="s">
        <v>161</v>
      </c>
      <c r="C16" s="9">
        <v>0</v>
      </c>
      <c r="D16" s="9">
        <v>0</v>
      </c>
      <c r="E16" s="9">
        <v>0</v>
      </c>
      <c r="F16" s="145" t="str">
        <f t="shared" si="0"/>
        <v>100.00</v>
      </c>
      <c r="G16" s="150" t="str">
        <f t="shared" si="1"/>
        <v>100.00</v>
      </c>
      <c r="H16" s="146">
        <f t="shared" si="2"/>
        <v>2.5</v>
      </c>
    </row>
    <row r="17" spans="1:8" s="10" customFormat="1" ht="23.1" customHeight="1">
      <c r="A17" s="8">
        <v>15</v>
      </c>
      <c r="B17" s="124" t="s">
        <v>162</v>
      </c>
      <c r="C17" s="9">
        <v>0</v>
      </c>
      <c r="D17" s="9">
        <v>0</v>
      </c>
      <c r="E17" s="9">
        <v>0</v>
      </c>
      <c r="F17" s="145" t="str">
        <f t="shared" si="0"/>
        <v>100.00</v>
      </c>
      <c r="G17" s="150" t="str">
        <f t="shared" si="1"/>
        <v>100.00</v>
      </c>
      <c r="H17" s="146">
        <f t="shared" si="2"/>
        <v>2.5</v>
      </c>
    </row>
    <row r="18" spans="1:8" s="10" customFormat="1" ht="23.1" customHeight="1">
      <c r="A18" s="8">
        <v>16</v>
      </c>
      <c r="B18" s="124" t="s">
        <v>163</v>
      </c>
      <c r="C18" s="9">
        <v>0</v>
      </c>
      <c r="D18" s="9">
        <v>0</v>
      </c>
      <c r="E18" s="9">
        <v>0</v>
      </c>
      <c r="F18" s="145" t="str">
        <f t="shared" si="0"/>
        <v>100.00</v>
      </c>
      <c r="G18" s="150" t="str">
        <f t="shared" si="1"/>
        <v>100.00</v>
      </c>
      <c r="H18" s="146">
        <f t="shared" si="2"/>
        <v>2.5</v>
      </c>
    </row>
    <row r="19" spans="1:8" s="10" customFormat="1" ht="23.1" customHeight="1">
      <c r="A19" s="8">
        <v>17</v>
      </c>
      <c r="B19" s="124" t="s">
        <v>164</v>
      </c>
      <c r="C19" s="9">
        <v>0</v>
      </c>
      <c r="D19" s="9">
        <v>0</v>
      </c>
      <c r="E19" s="9">
        <v>0</v>
      </c>
      <c r="F19" s="145" t="str">
        <f t="shared" si="0"/>
        <v>100.00</v>
      </c>
      <c r="G19" s="150" t="str">
        <f t="shared" si="1"/>
        <v>100.00</v>
      </c>
      <c r="H19" s="146">
        <f t="shared" si="2"/>
        <v>2.5</v>
      </c>
    </row>
    <row r="20" spans="1:8" s="10" customFormat="1" ht="23.1" customHeight="1">
      <c r="A20" s="8">
        <v>18</v>
      </c>
      <c r="B20" s="124" t="s">
        <v>165</v>
      </c>
      <c r="C20" s="9">
        <v>0</v>
      </c>
      <c r="D20" s="9">
        <v>0</v>
      </c>
      <c r="E20" s="9">
        <v>0</v>
      </c>
      <c r="F20" s="145" t="str">
        <f t="shared" si="0"/>
        <v>100.00</v>
      </c>
      <c r="G20" s="150" t="str">
        <f t="shared" si="1"/>
        <v>100.00</v>
      </c>
      <c r="H20" s="146">
        <f t="shared" si="2"/>
        <v>2.5</v>
      </c>
    </row>
    <row r="21" spans="1:8" s="10" customFormat="1" ht="23.1" customHeight="1">
      <c r="A21" s="8">
        <v>19</v>
      </c>
      <c r="B21" s="124" t="s">
        <v>166</v>
      </c>
      <c r="C21" s="9">
        <v>2</v>
      </c>
      <c r="D21" s="9">
        <v>2</v>
      </c>
      <c r="E21" s="9">
        <v>2</v>
      </c>
      <c r="F21" s="145">
        <f t="shared" si="0"/>
        <v>100</v>
      </c>
      <c r="G21" s="150">
        <f t="shared" si="1"/>
        <v>100</v>
      </c>
      <c r="H21" s="146">
        <f t="shared" si="2"/>
        <v>2.5</v>
      </c>
    </row>
    <row r="22" spans="1:8" s="10" customFormat="1" ht="23.1" customHeight="1">
      <c r="A22" s="8">
        <v>20</v>
      </c>
      <c r="B22" s="124" t="s">
        <v>167</v>
      </c>
      <c r="C22" s="9">
        <v>1</v>
      </c>
      <c r="D22" s="9">
        <v>1</v>
      </c>
      <c r="E22" s="9">
        <v>1</v>
      </c>
      <c r="F22" s="145">
        <f t="shared" si="0"/>
        <v>100</v>
      </c>
      <c r="G22" s="150">
        <f t="shared" si="1"/>
        <v>100</v>
      </c>
      <c r="H22" s="146">
        <f t="shared" si="2"/>
        <v>2.5</v>
      </c>
    </row>
    <row r="23" spans="1:8" s="10" customFormat="1" ht="23.1" customHeight="1">
      <c r="A23" s="8">
        <v>21</v>
      </c>
      <c r="B23" s="124" t="s">
        <v>168</v>
      </c>
      <c r="C23" s="9">
        <v>1</v>
      </c>
      <c r="D23" s="9">
        <v>1</v>
      </c>
      <c r="E23" s="9">
        <v>1</v>
      </c>
      <c r="F23" s="145">
        <f t="shared" si="0"/>
        <v>100</v>
      </c>
      <c r="G23" s="150">
        <f t="shared" si="1"/>
        <v>100</v>
      </c>
      <c r="H23" s="146">
        <f t="shared" si="2"/>
        <v>2.5</v>
      </c>
    </row>
    <row r="24" spans="1:8" s="10" customFormat="1" ht="23.1" customHeight="1">
      <c r="A24" s="8">
        <v>22</v>
      </c>
      <c r="B24" s="124" t="s">
        <v>169</v>
      </c>
      <c r="C24" s="9">
        <v>0</v>
      </c>
      <c r="D24" s="9">
        <v>0</v>
      </c>
      <c r="E24" s="9">
        <v>0</v>
      </c>
      <c r="F24" s="145" t="str">
        <f t="shared" si="0"/>
        <v>100.00</v>
      </c>
      <c r="G24" s="150" t="str">
        <f t="shared" si="1"/>
        <v>100.00</v>
      </c>
      <c r="H24" s="146">
        <f t="shared" si="2"/>
        <v>2.5</v>
      </c>
    </row>
    <row r="25" spans="1:8" s="10" customFormat="1" ht="23.1" customHeight="1">
      <c r="A25" s="8">
        <v>23</v>
      </c>
      <c r="B25" s="124" t="s">
        <v>170</v>
      </c>
      <c r="C25" s="9">
        <v>2</v>
      </c>
      <c r="D25" s="9">
        <v>2</v>
      </c>
      <c r="E25" s="9">
        <v>2</v>
      </c>
      <c r="F25" s="145">
        <f t="shared" si="0"/>
        <v>100</v>
      </c>
      <c r="G25" s="150">
        <f t="shared" si="1"/>
        <v>100</v>
      </c>
      <c r="H25" s="146">
        <f t="shared" si="2"/>
        <v>2.5</v>
      </c>
    </row>
    <row r="26" spans="1:8" s="10" customFormat="1" ht="23.1" customHeight="1">
      <c r="A26" s="8">
        <v>24</v>
      </c>
      <c r="B26" s="124" t="s">
        <v>171</v>
      </c>
      <c r="C26" s="9">
        <v>1</v>
      </c>
      <c r="D26" s="9">
        <v>1</v>
      </c>
      <c r="E26" s="9">
        <v>1</v>
      </c>
      <c r="F26" s="145">
        <f t="shared" si="0"/>
        <v>100</v>
      </c>
      <c r="G26" s="150">
        <f t="shared" si="1"/>
        <v>100</v>
      </c>
      <c r="H26" s="146">
        <f t="shared" si="2"/>
        <v>2.5</v>
      </c>
    </row>
    <row r="27" spans="1:8" s="10" customFormat="1" ht="23.1" customHeight="1">
      <c r="A27" s="8">
        <v>25</v>
      </c>
      <c r="B27" s="124" t="s">
        <v>172</v>
      </c>
      <c r="C27" s="9">
        <v>1</v>
      </c>
      <c r="D27" s="9">
        <v>1</v>
      </c>
      <c r="E27" s="9">
        <v>1</v>
      </c>
      <c r="F27" s="145">
        <f t="shared" si="0"/>
        <v>100</v>
      </c>
      <c r="G27" s="150">
        <f t="shared" si="1"/>
        <v>100</v>
      </c>
      <c r="H27" s="146">
        <f t="shared" si="2"/>
        <v>2.5</v>
      </c>
    </row>
    <row r="28" spans="1:8" s="10" customFormat="1" ht="23.1" customHeight="1">
      <c r="A28" s="8">
        <v>26</v>
      </c>
      <c r="B28" s="124" t="s">
        <v>173</v>
      </c>
      <c r="C28" s="9">
        <v>0</v>
      </c>
      <c r="D28" s="9">
        <v>0</v>
      </c>
      <c r="E28" s="9">
        <v>0</v>
      </c>
      <c r="F28" s="145" t="str">
        <f t="shared" si="0"/>
        <v>100.00</v>
      </c>
      <c r="G28" s="150" t="str">
        <f t="shared" si="1"/>
        <v>100.00</v>
      </c>
      <c r="H28" s="146">
        <f t="shared" si="2"/>
        <v>2.5</v>
      </c>
    </row>
    <row r="29" spans="1:8" s="10" customFormat="1" ht="23.1" customHeight="1">
      <c r="A29" s="8">
        <v>27</v>
      </c>
      <c r="B29" s="124" t="s">
        <v>174</v>
      </c>
      <c r="C29" s="9">
        <v>0</v>
      </c>
      <c r="D29" s="9">
        <v>0</v>
      </c>
      <c r="E29" s="9">
        <v>0</v>
      </c>
      <c r="F29" s="145" t="str">
        <f t="shared" si="0"/>
        <v>100.00</v>
      </c>
      <c r="G29" s="150" t="str">
        <f t="shared" si="1"/>
        <v>100.00</v>
      </c>
      <c r="H29" s="146">
        <f t="shared" si="2"/>
        <v>2.5</v>
      </c>
    </row>
    <row r="30" spans="1:8" s="10" customFormat="1" ht="23.1" customHeight="1">
      <c r="A30" s="8">
        <v>28</v>
      </c>
      <c r="B30" s="124" t="s">
        <v>175</v>
      </c>
      <c r="C30" s="9">
        <v>0</v>
      </c>
      <c r="D30" s="9">
        <v>0</v>
      </c>
      <c r="E30" s="9">
        <v>0</v>
      </c>
      <c r="F30" s="145" t="str">
        <f t="shared" si="0"/>
        <v>100.00</v>
      </c>
      <c r="G30" s="150" t="str">
        <f t="shared" si="1"/>
        <v>100.00</v>
      </c>
      <c r="H30" s="146">
        <f t="shared" si="2"/>
        <v>2.5</v>
      </c>
    </row>
    <row r="31" spans="1:8" s="10" customFormat="1" ht="23.1" customHeight="1">
      <c r="A31" s="8">
        <v>29</v>
      </c>
      <c r="B31" s="124" t="s">
        <v>176</v>
      </c>
      <c r="C31" s="9">
        <v>1</v>
      </c>
      <c r="D31" s="9">
        <v>1</v>
      </c>
      <c r="E31" s="9">
        <v>1</v>
      </c>
      <c r="F31" s="145">
        <f t="shared" si="0"/>
        <v>100</v>
      </c>
      <c r="G31" s="150">
        <f t="shared" si="1"/>
        <v>100</v>
      </c>
      <c r="H31" s="146">
        <f t="shared" si="2"/>
        <v>2.5</v>
      </c>
    </row>
    <row r="32" spans="1:8" s="10" customFormat="1" ht="23.1" customHeight="1">
      <c r="A32" s="8">
        <v>30</v>
      </c>
      <c r="B32" s="124" t="s">
        <v>177</v>
      </c>
      <c r="C32" s="9">
        <v>0</v>
      </c>
      <c r="D32" s="9">
        <v>0</v>
      </c>
      <c r="E32" s="9">
        <v>0</v>
      </c>
      <c r="F32" s="145" t="str">
        <f t="shared" si="0"/>
        <v>100.00</v>
      </c>
      <c r="G32" s="150" t="str">
        <f t="shared" si="1"/>
        <v>100.00</v>
      </c>
      <c r="H32" s="146">
        <f t="shared" si="2"/>
        <v>2.5</v>
      </c>
    </row>
    <row r="33" spans="1:8" s="10" customFormat="1" ht="23.1" customHeight="1">
      <c r="A33" s="8">
        <v>31</v>
      </c>
      <c r="B33" s="124" t="s">
        <v>178</v>
      </c>
      <c r="C33" s="9">
        <v>0</v>
      </c>
      <c r="D33" s="9">
        <v>0</v>
      </c>
      <c r="E33" s="9">
        <v>0</v>
      </c>
      <c r="F33" s="145" t="str">
        <f t="shared" si="0"/>
        <v>100.00</v>
      </c>
      <c r="G33" s="150" t="str">
        <f t="shared" si="1"/>
        <v>100.00</v>
      </c>
      <c r="H33" s="146">
        <f t="shared" si="2"/>
        <v>2.5</v>
      </c>
    </row>
    <row r="34" spans="1:8" s="10" customFormat="1" ht="23.1" customHeight="1">
      <c r="A34" s="8">
        <v>32</v>
      </c>
      <c r="B34" s="124" t="s">
        <v>179</v>
      </c>
      <c r="C34" s="9">
        <v>0</v>
      </c>
      <c r="D34" s="9">
        <v>0</v>
      </c>
      <c r="E34" s="9">
        <v>0</v>
      </c>
      <c r="F34" s="145" t="str">
        <f t="shared" si="0"/>
        <v>100.00</v>
      </c>
      <c r="G34" s="150" t="str">
        <f t="shared" si="1"/>
        <v>100.00</v>
      </c>
      <c r="H34" s="146">
        <f t="shared" si="2"/>
        <v>2.5</v>
      </c>
    </row>
    <row r="35" spans="1:8" s="10" customFormat="1" ht="23.1" customHeight="1">
      <c r="A35" s="8">
        <v>33</v>
      </c>
      <c r="B35" s="124" t="s">
        <v>180</v>
      </c>
      <c r="C35" s="9">
        <v>0</v>
      </c>
      <c r="D35" s="9">
        <v>0</v>
      </c>
      <c r="E35" s="9">
        <v>0</v>
      </c>
      <c r="F35" s="145" t="str">
        <f t="shared" si="0"/>
        <v>100.00</v>
      </c>
      <c r="G35" s="150" t="str">
        <f t="shared" si="1"/>
        <v>100.00</v>
      </c>
      <c r="H35" s="146">
        <f t="shared" si="2"/>
        <v>2.5</v>
      </c>
    </row>
    <row r="36" spans="1:8" s="10" customFormat="1" ht="23.1" customHeight="1">
      <c r="A36" s="197" t="s">
        <v>8</v>
      </c>
      <c r="B36" s="197"/>
      <c r="C36" s="11">
        <f>SUM(C3:C35)</f>
        <v>19</v>
      </c>
      <c r="D36" s="11">
        <f t="shared" ref="D36:E36" si="3">SUM(D3:D35)</f>
        <v>19</v>
      </c>
      <c r="E36" s="11">
        <f t="shared" si="3"/>
        <v>19</v>
      </c>
      <c r="F36" s="148">
        <f>AVERAGE(F3:F35)</f>
        <v>100</v>
      </c>
      <c r="G36" s="152">
        <f t="shared" ref="G36:H36" si="4">AVERAGE(G3:G35)</f>
        <v>100</v>
      </c>
      <c r="H36" s="148">
        <f t="shared" si="4"/>
        <v>2.5</v>
      </c>
    </row>
  </sheetData>
  <mergeCells count="2">
    <mergeCell ref="A1:H1"/>
    <mergeCell ref="A36:B36"/>
  </mergeCells>
  <conditionalFormatting sqref="F3:F35">
    <cfRule type="cellIs" dxfId="2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scale="95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D778-957D-4346-ADE5-2C5AA735B6DE}">
  <sheetPr codeName="Sheet18">
    <tabColor rgb="FFFFFF00"/>
    <pageSetUpPr fitToPage="1"/>
  </sheetPr>
  <dimension ref="A1:H40"/>
  <sheetViews>
    <sheetView zoomScaleNormal="100" workbookViewId="0">
      <pane ySplit="2" topLeftCell="A30" activePane="bottomLeft" state="frozen"/>
      <selection pane="bottomLeft" activeCell="H3" sqref="H3:H35"/>
    </sheetView>
  </sheetViews>
  <sheetFormatPr defaultRowHeight="14.4"/>
  <cols>
    <col min="1" max="1" width="5.44140625" style="12" bestFit="1" customWidth="1"/>
    <col min="2" max="2" width="19.44140625" customWidth="1"/>
    <col min="3" max="3" width="10.44140625" style="12" bestFit="1" customWidth="1"/>
    <col min="4" max="4" width="11" style="12" customWidth="1"/>
    <col min="5" max="5" width="12.44140625" style="12" customWidth="1"/>
    <col min="6" max="6" width="10.44140625" bestFit="1" customWidth="1"/>
    <col min="7" max="7" width="12.44140625" style="12" customWidth="1"/>
  </cols>
  <sheetData>
    <row r="1" spans="1:8" ht="24" customHeight="1">
      <c r="A1" s="198" t="s">
        <v>186</v>
      </c>
      <c r="B1" s="198"/>
      <c r="C1" s="198"/>
      <c r="D1" s="198"/>
      <c r="E1" s="198"/>
      <c r="F1" s="198"/>
      <c r="G1" s="198"/>
      <c r="H1" s="198"/>
    </row>
    <row r="2" spans="1:8" ht="44.4" customHeight="1">
      <c r="A2" s="2" t="s">
        <v>0</v>
      </c>
      <c r="B2" s="3" t="s">
        <v>1</v>
      </c>
      <c r="C2" s="4" t="s">
        <v>2</v>
      </c>
      <c r="D2" s="5" t="s">
        <v>9</v>
      </c>
      <c r="E2" s="6" t="s">
        <v>4</v>
      </c>
      <c r="F2" s="65" t="s">
        <v>10</v>
      </c>
      <c r="G2" s="134" t="s">
        <v>11</v>
      </c>
      <c r="H2" s="65" t="s">
        <v>7</v>
      </c>
    </row>
    <row r="3" spans="1:8" s="10" customFormat="1" ht="24" customHeight="1">
      <c r="A3" s="8">
        <v>1</v>
      </c>
      <c r="B3" s="124" t="s">
        <v>148</v>
      </c>
      <c r="C3" s="9">
        <v>0</v>
      </c>
      <c r="D3" s="9">
        <v>0</v>
      </c>
      <c r="E3" s="9">
        <v>0</v>
      </c>
      <c r="F3" s="145" t="str">
        <f>IF(AND(D3=0),"100.00",IF(AND(E3*100/D3&gt;100),"100.00",(E3*100/D3)))</f>
        <v>100.00</v>
      </c>
      <c r="G3" s="150" t="str">
        <f>F3</f>
        <v>100.00</v>
      </c>
      <c r="H3" s="146">
        <f>G3*2.5%</f>
        <v>2.5</v>
      </c>
    </row>
    <row r="4" spans="1:8" s="10" customFormat="1" ht="24" customHeight="1">
      <c r="A4" s="8">
        <v>2</v>
      </c>
      <c r="B4" s="124" t="s">
        <v>149</v>
      </c>
      <c r="C4" s="9">
        <v>1</v>
      </c>
      <c r="D4" s="9">
        <v>1</v>
      </c>
      <c r="E4" s="9">
        <v>1</v>
      </c>
      <c r="F4" s="145">
        <f t="shared" ref="F4:F35" si="0">IF(AND(D4=0),"100.00",IF(AND(E4*100/D4&gt;100),"100.00",(E4*100/D4)))</f>
        <v>100</v>
      </c>
      <c r="G4" s="150">
        <f t="shared" ref="G4:G35" si="1">F4</f>
        <v>100</v>
      </c>
      <c r="H4" s="146">
        <f t="shared" ref="H4:H35" si="2">G4*2.5%</f>
        <v>2.5</v>
      </c>
    </row>
    <row r="5" spans="1:8" s="10" customFormat="1" ht="24" customHeight="1">
      <c r="A5" s="8">
        <v>3</v>
      </c>
      <c r="B5" s="124" t="s">
        <v>150</v>
      </c>
      <c r="C5" s="9">
        <v>0</v>
      </c>
      <c r="D5" s="9">
        <v>0</v>
      </c>
      <c r="E5" s="9">
        <v>0</v>
      </c>
      <c r="F5" s="145" t="str">
        <f t="shared" si="0"/>
        <v>100.00</v>
      </c>
      <c r="G5" s="150" t="str">
        <f t="shared" si="1"/>
        <v>100.00</v>
      </c>
      <c r="H5" s="146">
        <f t="shared" si="2"/>
        <v>2.5</v>
      </c>
    </row>
    <row r="6" spans="1:8" s="10" customFormat="1" ht="24" customHeight="1">
      <c r="A6" s="8">
        <v>4</v>
      </c>
      <c r="B6" s="124" t="s">
        <v>151</v>
      </c>
      <c r="C6" s="9">
        <v>1</v>
      </c>
      <c r="D6" s="9">
        <v>1</v>
      </c>
      <c r="E6" s="9">
        <v>1</v>
      </c>
      <c r="F6" s="145">
        <f t="shared" si="0"/>
        <v>100</v>
      </c>
      <c r="G6" s="150">
        <f t="shared" si="1"/>
        <v>100</v>
      </c>
      <c r="H6" s="146">
        <f t="shared" si="2"/>
        <v>2.5</v>
      </c>
    </row>
    <row r="7" spans="1:8" s="10" customFormat="1" ht="24" customHeight="1">
      <c r="A7" s="8">
        <v>5</v>
      </c>
      <c r="B7" s="124" t="s">
        <v>152</v>
      </c>
      <c r="C7" s="9">
        <v>1</v>
      </c>
      <c r="D7" s="9">
        <v>1</v>
      </c>
      <c r="E7" s="9">
        <v>1</v>
      </c>
      <c r="F7" s="145">
        <f t="shared" si="0"/>
        <v>100</v>
      </c>
      <c r="G7" s="150">
        <f t="shared" si="1"/>
        <v>100</v>
      </c>
      <c r="H7" s="146">
        <f t="shared" si="2"/>
        <v>2.5</v>
      </c>
    </row>
    <row r="8" spans="1:8" s="10" customFormat="1" ht="24" customHeight="1">
      <c r="A8" s="8">
        <v>6</v>
      </c>
      <c r="B8" s="124" t="s">
        <v>153</v>
      </c>
      <c r="C8" s="9">
        <v>0</v>
      </c>
      <c r="D8" s="9">
        <v>0</v>
      </c>
      <c r="E8" s="9">
        <v>0</v>
      </c>
      <c r="F8" s="145" t="str">
        <f t="shared" si="0"/>
        <v>100.00</v>
      </c>
      <c r="G8" s="150" t="str">
        <f t="shared" si="1"/>
        <v>100.00</v>
      </c>
      <c r="H8" s="146">
        <f t="shared" si="2"/>
        <v>2.5</v>
      </c>
    </row>
    <row r="9" spans="1:8" s="10" customFormat="1" ht="24" customHeight="1">
      <c r="A9" s="8">
        <v>7</v>
      </c>
      <c r="B9" s="124" t="s">
        <v>154</v>
      </c>
      <c r="C9" s="9">
        <v>0</v>
      </c>
      <c r="D9" s="9">
        <v>0</v>
      </c>
      <c r="E9" s="9">
        <v>0</v>
      </c>
      <c r="F9" s="145" t="str">
        <f t="shared" si="0"/>
        <v>100.00</v>
      </c>
      <c r="G9" s="150" t="str">
        <f t="shared" si="1"/>
        <v>100.00</v>
      </c>
      <c r="H9" s="146">
        <f t="shared" si="2"/>
        <v>2.5</v>
      </c>
    </row>
    <row r="10" spans="1:8" s="10" customFormat="1" ht="24" customHeight="1">
      <c r="A10" s="8">
        <v>8</v>
      </c>
      <c r="B10" s="124" t="s">
        <v>155</v>
      </c>
      <c r="C10" s="9">
        <v>0</v>
      </c>
      <c r="D10" s="9">
        <v>0</v>
      </c>
      <c r="E10" s="9">
        <v>0</v>
      </c>
      <c r="F10" s="145" t="str">
        <f t="shared" si="0"/>
        <v>100.00</v>
      </c>
      <c r="G10" s="150" t="str">
        <f t="shared" si="1"/>
        <v>100.00</v>
      </c>
      <c r="H10" s="146">
        <f t="shared" si="2"/>
        <v>2.5</v>
      </c>
    </row>
    <row r="11" spans="1:8" s="10" customFormat="1" ht="24" customHeight="1">
      <c r="A11" s="8">
        <v>9</v>
      </c>
      <c r="B11" s="124" t="s">
        <v>156</v>
      </c>
      <c r="C11" s="9">
        <v>0</v>
      </c>
      <c r="D11" s="9">
        <v>0</v>
      </c>
      <c r="E11" s="9">
        <v>0</v>
      </c>
      <c r="F11" s="145" t="str">
        <f t="shared" si="0"/>
        <v>100.00</v>
      </c>
      <c r="G11" s="150" t="str">
        <f t="shared" si="1"/>
        <v>100.00</v>
      </c>
      <c r="H11" s="146">
        <f t="shared" si="2"/>
        <v>2.5</v>
      </c>
    </row>
    <row r="12" spans="1:8" s="10" customFormat="1" ht="24" customHeight="1">
      <c r="A12" s="8">
        <v>10</v>
      </c>
      <c r="B12" s="124" t="s">
        <v>157</v>
      </c>
      <c r="C12" s="9">
        <v>0</v>
      </c>
      <c r="D12" s="9">
        <v>0</v>
      </c>
      <c r="E12" s="9">
        <v>0</v>
      </c>
      <c r="F12" s="145" t="str">
        <f t="shared" si="0"/>
        <v>100.00</v>
      </c>
      <c r="G12" s="150" t="str">
        <f t="shared" si="1"/>
        <v>100.00</v>
      </c>
      <c r="H12" s="146">
        <f t="shared" si="2"/>
        <v>2.5</v>
      </c>
    </row>
    <row r="13" spans="1:8" s="10" customFormat="1" ht="24" customHeight="1">
      <c r="A13" s="8">
        <v>11</v>
      </c>
      <c r="B13" s="124" t="s">
        <v>158</v>
      </c>
      <c r="C13" s="9">
        <v>0</v>
      </c>
      <c r="D13" s="9">
        <v>0</v>
      </c>
      <c r="E13" s="9">
        <v>0</v>
      </c>
      <c r="F13" s="145" t="str">
        <f t="shared" si="0"/>
        <v>100.00</v>
      </c>
      <c r="G13" s="150" t="str">
        <f t="shared" si="1"/>
        <v>100.00</v>
      </c>
      <c r="H13" s="146">
        <f t="shared" si="2"/>
        <v>2.5</v>
      </c>
    </row>
    <row r="14" spans="1:8" s="10" customFormat="1" ht="24" customHeight="1">
      <c r="A14" s="8">
        <v>12</v>
      </c>
      <c r="B14" s="124" t="s">
        <v>159</v>
      </c>
      <c r="C14" s="9">
        <v>0</v>
      </c>
      <c r="D14" s="9">
        <v>0</v>
      </c>
      <c r="E14" s="9">
        <v>0</v>
      </c>
      <c r="F14" s="145" t="str">
        <f t="shared" si="0"/>
        <v>100.00</v>
      </c>
      <c r="G14" s="150" t="str">
        <f t="shared" si="1"/>
        <v>100.00</v>
      </c>
      <c r="H14" s="146">
        <f t="shared" si="2"/>
        <v>2.5</v>
      </c>
    </row>
    <row r="15" spans="1:8" s="10" customFormat="1" ht="24" customHeight="1">
      <c r="A15" s="8">
        <v>13</v>
      </c>
      <c r="B15" s="124" t="s">
        <v>160</v>
      </c>
      <c r="C15" s="9">
        <v>2</v>
      </c>
      <c r="D15" s="9">
        <v>2</v>
      </c>
      <c r="E15" s="9">
        <v>2</v>
      </c>
      <c r="F15" s="145">
        <f t="shared" si="0"/>
        <v>100</v>
      </c>
      <c r="G15" s="150">
        <f t="shared" si="1"/>
        <v>100</v>
      </c>
      <c r="H15" s="146">
        <f t="shared" si="2"/>
        <v>2.5</v>
      </c>
    </row>
    <row r="16" spans="1:8" s="10" customFormat="1" ht="24" customHeight="1">
      <c r="A16" s="8">
        <v>14</v>
      </c>
      <c r="B16" s="124" t="s">
        <v>161</v>
      </c>
      <c r="C16" s="9">
        <v>0</v>
      </c>
      <c r="D16" s="9">
        <v>0</v>
      </c>
      <c r="E16" s="9">
        <v>0</v>
      </c>
      <c r="F16" s="145" t="str">
        <f t="shared" si="0"/>
        <v>100.00</v>
      </c>
      <c r="G16" s="150" t="str">
        <f t="shared" si="1"/>
        <v>100.00</v>
      </c>
      <c r="H16" s="146">
        <f t="shared" si="2"/>
        <v>2.5</v>
      </c>
    </row>
    <row r="17" spans="1:8" s="10" customFormat="1" ht="24" customHeight="1">
      <c r="A17" s="8">
        <v>15</v>
      </c>
      <c r="B17" s="124" t="s">
        <v>162</v>
      </c>
      <c r="C17" s="9">
        <v>0</v>
      </c>
      <c r="D17" s="9">
        <v>0</v>
      </c>
      <c r="E17" s="9">
        <v>0</v>
      </c>
      <c r="F17" s="145" t="str">
        <f t="shared" si="0"/>
        <v>100.00</v>
      </c>
      <c r="G17" s="150" t="str">
        <f t="shared" si="1"/>
        <v>100.00</v>
      </c>
      <c r="H17" s="146">
        <f t="shared" si="2"/>
        <v>2.5</v>
      </c>
    </row>
    <row r="18" spans="1:8" s="10" customFormat="1" ht="24" customHeight="1">
      <c r="A18" s="8">
        <v>16</v>
      </c>
      <c r="B18" s="124" t="s">
        <v>163</v>
      </c>
      <c r="C18" s="9">
        <v>0</v>
      </c>
      <c r="D18" s="9">
        <v>0</v>
      </c>
      <c r="E18" s="9">
        <v>0</v>
      </c>
      <c r="F18" s="145" t="str">
        <f t="shared" si="0"/>
        <v>100.00</v>
      </c>
      <c r="G18" s="150" t="str">
        <f t="shared" si="1"/>
        <v>100.00</v>
      </c>
      <c r="H18" s="146">
        <f t="shared" si="2"/>
        <v>2.5</v>
      </c>
    </row>
    <row r="19" spans="1:8" s="10" customFormat="1" ht="24" customHeight="1">
      <c r="A19" s="8">
        <v>17</v>
      </c>
      <c r="B19" s="124" t="s">
        <v>164</v>
      </c>
      <c r="C19" s="9">
        <v>1</v>
      </c>
      <c r="D19" s="9">
        <v>1</v>
      </c>
      <c r="E19" s="9">
        <v>1</v>
      </c>
      <c r="F19" s="145">
        <f t="shared" si="0"/>
        <v>100</v>
      </c>
      <c r="G19" s="150">
        <f t="shared" si="1"/>
        <v>100</v>
      </c>
      <c r="H19" s="146">
        <f t="shared" si="2"/>
        <v>2.5</v>
      </c>
    </row>
    <row r="20" spans="1:8" s="10" customFormat="1" ht="24" customHeight="1">
      <c r="A20" s="8">
        <v>18</v>
      </c>
      <c r="B20" s="124" t="s">
        <v>165</v>
      </c>
      <c r="C20" s="9">
        <v>0</v>
      </c>
      <c r="D20" s="9">
        <v>0</v>
      </c>
      <c r="E20" s="9">
        <v>0</v>
      </c>
      <c r="F20" s="145" t="str">
        <f t="shared" si="0"/>
        <v>100.00</v>
      </c>
      <c r="G20" s="150" t="str">
        <f t="shared" si="1"/>
        <v>100.00</v>
      </c>
      <c r="H20" s="146">
        <f t="shared" si="2"/>
        <v>2.5</v>
      </c>
    </row>
    <row r="21" spans="1:8" s="10" customFormat="1" ht="24" customHeight="1">
      <c r="A21" s="8">
        <v>19</v>
      </c>
      <c r="B21" s="124" t="s">
        <v>166</v>
      </c>
      <c r="C21" s="9">
        <v>0</v>
      </c>
      <c r="D21" s="9">
        <v>0</v>
      </c>
      <c r="E21" s="9">
        <v>0</v>
      </c>
      <c r="F21" s="145" t="str">
        <f t="shared" si="0"/>
        <v>100.00</v>
      </c>
      <c r="G21" s="150" t="str">
        <f t="shared" si="1"/>
        <v>100.00</v>
      </c>
      <c r="H21" s="146">
        <f t="shared" si="2"/>
        <v>2.5</v>
      </c>
    </row>
    <row r="22" spans="1:8" s="10" customFormat="1" ht="24" customHeight="1">
      <c r="A22" s="8">
        <v>20</v>
      </c>
      <c r="B22" s="124" t="s">
        <v>167</v>
      </c>
      <c r="C22" s="9">
        <v>1</v>
      </c>
      <c r="D22" s="9">
        <v>1</v>
      </c>
      <c r="E22" s="9">
        <v>1</v>
      </c>
      <c r="F22" s="145">
        <f t="shared" si="0"/>
        <v>100</v>
      </c>
      <c r="G22" s="150">
        <f t="shared" si="1"/>
        <v>100</v>
      </c>
      <c r="H22" s="146">
        <f t="shared" si="2"/>
        <v>2.5</v>
      </c>
    </row>
    <row r="23" spans="1:8" s="10" customFormat="1" ht="24" customHeight="1">
      <c r="A23" s="8">
        <v>21</v>
      </c>
      <c r="B23" s="124" t="s">
        <v>168</v>
      </c>
      <c r="C23" s="9">
        <v>1</v>
      </c>
      <c r="D23" s="9">
        <v>1</v>
      </c>
      <c r="E23" s="9">
        <v>1</v>
      </c>
      <c r="F23" s="145">
        <f t="shared" si="0"/>
        <v>100</v>
      </c>
      <c r="G23" s="150">
        <f t="shared" si="1"/>
        <v>100</v>
      </c>
      <c r="H23" s="146">
        <f t="shared" si="2"/>
        <v>2.5</v>
      </c>
    </row>
    <row r="24" spans="1:8" s="10" customFormat="1" ht="24" customHeight="1">
      <c r="A24" s="8">
        <v>22</v>
      </c>
      <c r="B24" s="124" t="s">
        <v>169</v>
      </c>
      <c r="C24" s="9">
        <v>0</v>
      </c>
      <c r="D24" s="9">
        <v>0</v>
      </c>
      <c r="E24" s="9">
        <v>0</v>
      </c>
      <c r="F24" s="145" t="str">
        <f t="shared" si="0"/>
        <v>100.00</v>
      </c>
      <c r="G24" s="150" t="str">
        <f t="shared" si="1"/>
        <v>100.00</v>
      </c>
      <c r="H24" s="146">
        <f t="shared" si="2"/>
        <v>2.5</v>
      </c>
    </row>
    <row r="25" spans="1:8" s="10" customFormat="1" ht="24" customHeight="1">
      <c r="A25" s="8">
        <v>23</v>
      </c>
      <c r="B25" s="124" t="s">
        <v>170</v>
      </c>
      <c r="C25" s="9">
        <v>1</v>
      </c>
      <c r="D25" s="9">
        <v>1</v>
      </c>
      <c r="E25" s="9">
        <v>1</v>
      </c>
      <c r="F25" s="145">
        <f t="shared" si="0"/>
        <v>100</v>
      </c>
      <c r="G25" s="150">
        <f t="shared" si="1"/>
        <v>100</v>
      </c>
      <c r="H25" s="146">
        <f t="shared" si="2"/>
        <v>2.5</v>
      </c>
    </row>
    <row r="26" spans="1:8" s="10" customFormat="1" ht="24" customHeight="1">
      <c r="A26" s="8">
        <v>24</v>
      </c>
      <c r="B26" s="124" t="s">
        <v>171</v>
      </c>
      <c r="C26" s="9">
        <v>2</v>
      </c>
      <c r="D26" s="9">
        <v>2</v>
      </c>
      <c r="E26" s="9">
        <v>2</v>
      </c>
      <c r="F26" s="145">
        <f t="shared" si="0"/>
        <v>100</v>
      </c>
      <c r="G26" s="150">
        <f t="shared" si="1"/>
        <v>100</v>
      </c>
      <c r="H26" s="146">
        <f t="shared" si="2"/>
        <v>2.5</v>
      </c>
    </row>
    <row r="27" spans="1:8" s="10" customFormat="1" ht="24" customHeight="1">
      <c r="A27" s="8">
        <v>25</v>
      </c>
      <c r="B27" s="124" t="s">
        <v>172</v>
      </c>
      <c r="C27" s="9">
        <v>0</v>
      </c>
      <c r="D27" s="9">
        <v>0</v>
      </c>
      <c r="E27" s="9">
        <v>0</v>
      </c>
      <c r="F27" s="145" t="str">
        <f t="shared" si="0"/>
        <v>100.00</v>
      </c>
      <c r="G27" s="150" t="str">
        <f t="shared" si="1"/>
        <v>100.00</v>
      </c>
      <c r="H27" s="146">
        <f t="shared" si="2"/>
        <v>2.5</v>
      </c>
    </row>
    <row r="28" spans="1:8" s="10" customFormat="1" ht="24" customHeight="1">
      <c r="A28" s="8">
        <v>26</v>
      </c>
      <c r="B28" s="124" t="s">
        <v>173</v>
      </c>
      <c r="C28" s="9">
        <v>0</v>
      </c>
      <c r="D28" s="9">
        <v>0</v>
      </c>
      <c r="E28" s="9">
        <v>0</v>
      </c>
      <c r="F28" s="145" t="str">
        <f t="shared" si="0"/>
        <v>100.00</v>
      </c>
      <c r="G28" s="150" t="str">
        <f t="shared" si="1"/>
        <v>100.00</v>
      </c>
      <c r="H28" s="146">
        <f t="shared" si="2"/>
        <v>2.5</v>
      </c>
    </row>
    <row r="29" spans="1:8" s="10" customFormat="1" ht="24" customHeight="1">
      <c r="A29" s="8">
        <v>27</v>
      </c>
      <c r="B29" s="124" t="s">
        <v>174</v>
      </c>
      <c r="C29" s="9">
        <v>0</v>
      </c>
      <c r="D29" s="9">
        <v>0</v>
      </c>
      <c r="E29" s="9">
        <v>0</v>
      </c>
      <c r="F29" s="145" t="str">
        <f t="shared" si="0"/>
        <v>100.00</v>
      </c>
      <c r="G29" s="150" t="str">
        <f t="shared" si="1"/>
        <v>100.00</v>
      </c>
      <c r="H29" s="146">
        <f t="shared" si="2"/>
        <v>2.5</v>
      </c>
    </row>
    <row r="30" spans="1:8" s="10" customFormat="1" ht="24" customHeight="1">
      <c r="A30" s="8">
        <v>28</v>
      </c>
      <c r="B30" s="124" t="s">
        <v>175</v>
      </c>
      <c r="C30" s="9">
        <v>2</v>
      </c>
      <c r="D30" s="9">
        <v>2</v>
      </c>
      <c r="E30" s="9">
        <v>2</v>
      </c>
      <c r="F30" s="145">
        <f t="shared" si="0"/>
        <v>100</v>
      </c>
      <c r="G30" s="150">
        <f t="shared" si="1"/>
        <v>100</v>
      </c>
      <c r="H30" s="146">
        <f t="shared" si="2"/>
        <v>2.5</v>
      </c>
    </row>
    <row r="31" spans="1:8" s="10" customFormat="1" ht="24" customHeight="1">
      <c r="A31" s="8">
        <v>29</v>
      </c>
      <c r="B31" s="124" t="s">
        <v>176</v>
      </c>
      <c r="C31" s="9">
        <v>0</v>
      </c>
      <c r="D31" s="9">
        <v>0</v>
      </c>
      <c r="E31" s="9">
        <v>0</v>
      </c>
      <c r="F31" s="145" t="str">
        <f t="shared" si="0"/>
        <v>100.00</v>
      </c>
      <c r="G31" s="150" t="str">
        <f t="shared" si="1"/>
        <v>100.00</v>
      </c>
      <c r="H31" s="146">
        <f t="shared" si="2"/>
        <v>2.5</v>
      </c>
    </row>
    <row r="32" spans="1:8" s="10" customFormat="1" ht="24" customHeight="1">
      <c r="A32" s="8">
        <v>30</v>
      </c>
      <c r="B32" s="124" t="s">
        <v>177</v>
      </c>
      <c r="C32" s="9">
        <v>0</v>
      </c>
      <c r="D32" s="9">
        <v>0</v>
      </c>
      <c r="E32" s="9">
        <v>0</v>
      </c>
      <c r="F32" s="145" t="str">
        <f t="shared" si="0"/>
        <v>100.00</v>
      </c>
      <c r="G32" s="150" t="str">
        <f t="shared" si="1"/>
        <v>100.00</v>
      </c>
      <c r="H32" s="146">
        <f t="shared" si="2"/>
        <v>2.5</v>
      </c>
    </row>
    <row r="33" spans="1:8" s="10" customFormat="1" ht="24" customHeight="1">
      <c r="A33" s="8">
        <v>31</v>
      </c>
      <c r="B33" s="124" t="s">
        <v>178</v>
      </c>
      <c r="C33" s="9">
        <v>0</v>
      </c>
      <c r="D33" s="9">
        <v>0</v>
      </c>
      <c r="E33" s="9">
        <v>0</v>
      </c>
      <c r="F33" s="145" t="str">
        <f t="shared" si="0"/>
        <v>100.00</v>
      </c>
      <c r="G33" s="150" t="str">
        <f t="shared" si="1"/>
        <v>100.00</v>
      </c>
      <c r="H33" s="146">
        <f t="shared" si="2"/>
        <v>2.5</v>
      </c>
    </row>
    <row r="34" spans="1:8" s="10" customFormat="1" ht="24" customHeight="1">
      <c r="A34" s="8">
        <v>32</v>
      </c>
      <c r="B34" s="124" t="s">
        <v>179</v>
      </c>
      <c r="C34" s="9">
        <v>1</v>
      </c>
      <c r="D34" s="9">
        <v>1</v>
      </c>
      <c r="E34" s="9">
        <v>1</v>
      </c>
      <c r="F34" s="145">
        <f t="shared" si="0"/>
        <v>100</v>
      </c>
      <c r="G34" s="150">
        <f t="shared" si="1"/>
        <v>100</v>
      </c>
      <c r="H34" s="146">
        <f t="shared" si="2"/>
        <v>2.5</v>
      </c>
    </row>
    <row r="35" spans="1:8" s="10" customFormat="1" ht="24" customHeight="1">
      <c r="A35" s="8">
        <v>33</v>
      </c>
      <c r="B35" s="124" t="s">
        <v>180</v>
      </c>
      <c r="C35" s="9">
        <v>0</v>
      </c>
      <c r="D35" s="9">
        <v>0</v>
      </c>
      <c r="E35" s="9">
        <v>0</v>
      </c>
      <c r="F35" s="145" t="str">
        <f t="shared" si="0"/>
        <v>100.00</v>
      </c>
      <c r="G35" s="150" t="str">
        <f t="shared" si="1"/>
        <v>100.00</v>
      </c>
      <c r="H35" s="146">
        <f t="shared" si="2"/>
        <v>2.5</v>
      </c>
    </row>
    <row r="36" spans="1:8" s="10" customFormat="1" ht="24" customHeight="1">
      <c r="A36" s="197" t="s">
        <v>8</v>
      </c>
      <c r="B36" s="197"/>
      <c r="C36" s="11">
        <f>SUM(C3:C35)</f>
        <v>14</v>
      </c>
      <c r="D36" s="11">
        <f>SUM(D3:D35)</f>
        <v>14</v>
      </c>
      <c r="E36" s="11">
        <f>SUM(E3:E35)</f>
        <v>14</v>
      </c>
      <c r="F36" s="149">
        <f>AVERAGE(F3:F35)</f>
        <v>100</v>
      </c>
      <c r="G36" s="151">
        <f t="shared" ref="G36:H36" si="3">AVERAGE(G3:G35)</f>
        <v>100</v>
      </c>
      <c r="H36" s="149">
        <f t="shared" si="3"/>
        <v>2.5</v>
      </c>
    </row>
    <row r="40" spans="1:8" ht="13.65" customHeight="1"/>
  </sheetData>
  <mergeCells count="2">
    <mergeCell ref="A1:H1"/>
    <mergeCell ref="A36:B36"/>
  </mergeCells>
  <conditionalFormatting sqref="F3:F35">
    <cfRule type="cellIs" dxfId="1" priority="1" operator="lessThan">
      <formula>100</formula>
    </cfRule>
  </conditionalFormatting>
  <printOptions horizontalCentered="1"/>
  <pageMargins left="0.51181102362204722" right="0.51181102362204722" top="0.74803149606299213" bottom="0.74803149606299213" header="0.31496062992125984" footer="0.31496062992125984"/>
  <pageSetup paperSize="5" fitToHeight="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4D60-2050-4D44-9A78-632C78C79821}">
  <sheetPr codeName="Sheet25">
    <tabColor rgb="FFFFC000"/>
    <pageSetUpPr fitToPage="1"/>
  </sheetPr>
  <dimension ref="A1:H36"/>
  <sheetViews>
    <sheetView workbookViewId="0">
      <pane ySplit="2" topLeftCell="A3" activePane="bottomLeft" state="frozen"/>
      <selection pane="bottomLeft" activeCell="H3" sqref="H3"/>
    </sheetView>
  </sheetViews>
  <sheetFormatPr defaultRowHeight="14.4"/>
  <cols>
    <col min="1" max="1" width="5.44140625" bestFit="1" customWidth="1"/>
    <col min="2" max="2" width="26.88671875" bestFit="1" customWidth="1"/>
    <col min="3" max="3" width="9" style="12" bestFit="1" customWidth="1"/>
    <col min="4" max="4" width="11.5546875" style="12" customWidth="1"/>
    <col min="5" max="5" width="10.5546875" style="12" customWidth="1"/>
    <col min="6" max="6" width="12.44140625" style="12" customWidth="1"/>
    <col min="7" max="7" width="14" customWidth="1"/>
  </cols>
  <sheetData>
    <row r="1" spans="1:8" ht="39" customHeight="1">
      <c r="A1" s="199" t="s">
        <v>19</v>
      </c>
      <c r="B1" s="199"/>
      <c r="C1" s="199"/>
      <c r="D1" s="199"/>
      <c r="E1" s="199"/>
      <c r="F1" s="199"/>
      <c r="G1" s="199"/>
      <c r="H1" s="199"/>
    </row>
    <row r="2" spans="1:8" ht="47.4" customHeight="1">
      <c r="A2" s="14" t="s">
        <v>12</v>
      </c>
      <c r="B2" s="14" t="s">
        <v>1</v>
      </c>
      <c r="C2" s="14" t="s">
        <v>13</v>
      </c>
      <c r="D2" s="14" t="s">
        <v>14</v>
      </c>
      <c r="E2" s="14" t="s">
        <v>15</v>
      </c>
      <c r="F2" s="14" t="s">
        <v>16</v>
      </c>
      <c r="G2" s="153" t="s">
        <v>17</v>
      </c>
      <c r="H2" s="14" t="s">
        <v>7</v>
      </c>
    </row>
    <row r="3" spans="1:8" s="17" customFormat="1" ht="18" customHeight="1">
      <c r="A3" s="9">
        <v>1</v>
      </c>
      <c r="B3" s="124" t="s">
        <v>148</v>
      </c>
      <c r="C3" s="15" t="s">
        <v>248</v>
      </c>
      <c r="D3" s="15" t="s">
        <v>248</v>
      </c>
      <c r="E3" s="8">
        <v>0</v>
      </c>
      <c r="F3" s="8">
        <v>0</v>
      </c>
      <c r="G3" s="61">
        <f>(E3+F3)/2</f>
        <v>0</v>
      </c>
      <c r="H3" s="16">
        <f>G3*5%</f>
        <v>0</v>
      </c>
    </row>
    <row r="4" spans="1:8" s="17" customFormat="1" ht="18" customHeight="1">
      <c r="A4" s="9">
        <v>2</v>
      </c>
      <c r="B4" s="124" t="s">
        <v>149</v>
      </c>
      <c r="C4" s="15" t="s">
        <v>248</v>
      </c>
      <c r="D4" s="15" t="s">
        <v>248</v>
      </c>
      <c r="E4" s="8">
        <v>0</v>
      </c>
      <c r="F4" s="8">
        <v>0</v>
      </c>
      <c r="G4" s="61">
        <f t="shared" ref="G4:G35" si="0">(E4+F4)/2</f>
        <v>0</v>
      </c>
      <c r="H4" s="16">
        <f t="shared" ref="H4:H35" si="1">G4*5%</f>
        <v>0</v>
      </c>
    </row>
    <row r="5" spans="1:8" s="17" customFormat="1" ht="18" customHeight="1">
      <c r="A5" s="9">
        <v>3</v>
      </c>
      <c r="B5" s="124" t="s">
        <v>150</v>
      </c>
      <c r="C5" s="15" t="s">
        <v>248</v>
      </c>
      <c r="D5" s="15" t="s">
        <v>248</v>
      </c>
      <c r="E5" s="8">
        <v>0</v>
      </c>
      <c r="F5" s="8">
        <v>0</v>
      </c>
      <c r="G5" s="61">
        <f t="shared" si="0"/>
        <v>0</v>
      </c>
      <c r="H5" s="16">
        <f t="shared" si="1"/>
        <v>0</v>
      </c>
    </row>
    <row r="6" spans="1:8" s="17" customFormat="1" ht="18" customHeight="1">
      <c r="A6" s="9">
        <v>4</v>
      </c>
      <c r="B6" s="124" t="s">
        <v>151</v>
      </c>
      <c r="C6" s="15" t="s">
        <v>248</v>
      </c>
      <c r="D6" s="15" t="s">
        <v>248</v>
      </c>
      <c r="E6" s="8">
        <v>0</v>
      </c>
      <c r="F6" s="8">
        <v>0</v>
      </c>
      <c r="G6" s="61">
        <f t="shared" si="0"/>
        <v>0</v>
      </c>
      <c r="H6" s="16">
        <f t="shared" si="1"/>
        <v>0</v>
      </c>
    </row>
    <row r="7" spans="1:8" s="17" customFormat="1" ht="18" customHeight="1">
      <c r="A7" s="9">
        <v>5</v>
      </c>
      <c r="B7" s="124" t="s">
        <v>152</v>
      </c>
      <c r="C7" s="15" t="s">
        <v>248</v>
      </c>
      <c r="D7" s="15" t="s">
        <v>248</v>
      </c>
      <c r="E7" s="8">
        <v>0</v>
      </c>
      <c r="F7" s="8">
        <v>0</v>
      </c>
      <c r="G7" s="61">
        <f t="shared" si="0"/>
        <v>0</v>
      </c>
      <c r="H7" s="16">
        <f t="shared" si="1"/>
        <v>0</v>
      </c>
    </row>
    <row r="8" spans="1:8" s="17" customFormat="1" ht="18" customHeight="1">
      <c r="A8" s="9">
        <v>6</v>
      </c>
      <c r="B8" s="124" t="s">
        <v>153</v>
      </c>
      <c r="C8" s="15" t="s">
        <v>248</v>
      </c>
      <c r="D8" s="15" t="s">
        <v>248</v>
      </c>
      <c r="E8" s="8">
        <v>0</v>
      </c>
      <c r="F8" s="8">
        <v>0</v>
      </c>
      <c r="G8" s="61">
        <f t="shared" si="0"/>
        <v>0</v>
      </c>
      <c r="H8" s="16">
        <f t="shared" si="1"/>
        <v>0</v>
      </c>
    </row>
    <row r="9" spans="1:8" s="17" customFormat="1" ht="18" customHeight="1">
      <c r="A9" s="9">
        <v>7</v>
      </c>
      <c r="B9" s="124" t="s">
        <v>154</v>
      </c>
      <c r="C9" s="15" t="s">
        <v>248</v>
      </c>
      <c r="D9" s="15" t="s">
        <v>248</v>
      </c>
      <c r="E9" s="8">
        <v>0</v>
      </c>
      <c r="F9" s="8">
        <v>0</v>
      </c>
      <c r="G9" s="61">
        <f t="shared" si="0"/>
        <v>0</v>
      </c>
      <c r="H9" s="16">
        <f t="shared" si="1"/>
        <v>0</v>
      </c>
    </row>
    <row r="10" spans="1:8" s="17" customFormat="1" ht="18" customHeight="1">
      <c r="A10" s="9">
        <v>8</v>
      </c>
      <c r="B10" s="124" t="s">
        <v>155</v>
      </c>
      <c r="C10" s="15" t="s">
        <v>248</v>
      </c>
      <c r="D10" s="15" t="s">
        <v>248</v>
      </c>
      <c r="E10" s="8">
        <v>0</v>
      </c>
      <c r="F10" s="8">
        <v>0</v>
      </c>
      <c r="G10" s="61">
        <f t="shared" si="0"/>
        <v>0</v>
      </c>
      <c r="H10" s="16">
        <f t="shared" si="1"/>
        <v>0</v>
      </c>
    </row>
    <row r="11" spans="1:8" s="17" customFormat="1" ht="18" customHeight="1">
      <c r="A11" s="9">
        <v>9</v>
      </c>
      <c r="B11" s="124" t="s">
        <v>156</v>
      </c>
      <c r="C11" s="15" t="s">
        <v>248</v>
      </c>
      <c r="D11" s="15" t="s">
        <v>248</v>
      </c>
      <c r="E11" s="8">
        <v>0</v>
      </c>
      <c r="F11" s="8">
        <v>0</v>
      </c>
      <c r="G11" s="61">
        <f t="shared" si="0"/>
        <v>0</v>
      </c>
      <c r="H11" s="16">
        <f t="shared" si="1"/>
        <v>0</v>
      </c>
    </row>
    <row r="12" spans="1:8" s="17" customFormat="1" ht="18" customHeight="1">
      <c r="A12" s="9">
        <v>10</v>
      </c>
      <c r="B12" s="124" t="s">
        <v>157</v>
      </c>
      <c r="C12" s="15" t="s">
        <v>248</v>
      </c>
      <c r="D12" s="15" t="s">
        <v>248</v>
      </c>
      <c r="E12" s="8">
        <v>0</v>
      </c>
      <c r="F12" s="8">
        <v>0</v>
      </c>
      <c r="G12" s="61">
        <f t="shared" si="0"/>
        <v>0</v>
      </c>
      <c r="H12" s="16">
        <f t="shared" si="1"/>
        <v>0</v>
      </c>
    </row>
    <row r="13" spans="1:8" s="17" customFormat="1" ht="18" customHeight="1">
      <c r="A13" s="9">
        <v>11</v>
      </c>
      <c r="B13" s="124" t="s">
        <v>158</v>
      </c>
      <c r="C13" s="15" t="s">
        <v>248</v>
      </c>
      <c r="D13" s="15" t="s">
        <v>248</v>
      </c>
      <c r="E13" s="8">
        <v>0</v>
      </c>
      <c r="F13" s="8">
        <v>0</v>
      </c>
      <c r="G13" s="61">
        <f t="shared" si="0"/>
        <v>0</v>
      </c>
      <c r="H13" s="16">
        <f t="shared" si="1"/>
        <v>0</v>
      </c>
    </row>
    <row r="14" spans="1:8" s="17" customFormat="1" ht="18" customHeight="1">
      <c r="A14" s="9">
        <v>12</v>
      </c>
      <c r="B14" s="124" t="s">
        <v>159</v>
      </c>
      <c r="C14" s="15" t="s">
        <v>248</v>
      </c>
      <c r="D14" s="15" t="s">
        <v>248</v>
      </c>
      <c r="E14" s="8">
        <v>0</v>
      </c>
      <c r="F14" s="8">
        <v>0</v>
      </c>
      <c r="G14" s="61">
        <f t="shared" si="0"/>
        <v>0</v>
      </c>
      <c r="H14" s="16">
        <f t="shared" si="1"/>
        <v>0</v>
      </c>
    </row>
    <row r="15" spans="1:8" s="17" customFormat="1" ht="18" customHeight="1">
      <c r="A15" s="9">
        <v>13</v>
      </c>
      <c r="B15" s="124" t="s">
        <v>160</v>
      </c>
      <c r="C15" s="15" t="s">
        <v>248</v>
      </c>
      <c r="D15" s="15" t="s">
        <v>248</v>
      </c>
      <c r="E15" s="8">
        <v>0</v>
      </c>
      <c r="F15" s="8">
        <v>0</v>
      </c>
      <c r="G15" s="61">
        <f t="shared" si="0"/>
        <v>0</v>
      </c>
      <c r="H15" s="16">
        <f t="shared" si="1"/>
        <v>0</v>
      </c>
    </row>
    <row r="16" spans="1:8" s="17" customFormat="1" ht="18" customHeight="1">
      <c r="A16" s="9">
        <v>14</v>
      </c>
      <c r="B16" s="124" t="s">
        <v>161</v>
      </c>
      <c r="C16" s="15" t="s">
        <v>248</v>
      </c>
      <c r="D16" s="15" t="s">
        <v>248</v>
      </c>
      <c r="E16" s="8">
        <v>0</v>
      </c>
      <c r="F16" s="8">
        <v>0</v>
      </c>
      <c r="G16" s="61">
        <f t="shared" si="0"/>
        <v>0</v>
      </c>
      <c r="H16" s="16">
        <f t="shared" si="1"/>
        <v>0</v>
      </c>
    </row>
    <row r="17" spans="1:8" s="17" customFormat="1" ht="18" customHeight="1">
      <c r="A17" s="9">
        <v>15</v>
      </c>
      <c r="B17" s="124" t="s">
        <v>162</v>
      </c>
      <c r="C17" s="15" t="s">
        <v>248</v>
      </c>
      <c r="D17" s="15" t="s">
        <v>248</v>
      </c>
      <c r="E17" s="8">
        <v>0</v>
      </c>
      <c r="F17" s="8">
        <v>0</v>
      </c>
      <c r="G17" s="61">
        <f t="shared" si="0"/>
        <v>0</v>
      </c>
      <c r="H17" s="16">
        <f t="shared" si="1"/>
        <v>0</v>
      </c>
    </row>
    <row r="18" spans="1:8" s="17" customFormat="1" ht="18" customHeight="1">
      <c r="A18" s="9">
        <v>16</v>
      </c>
      <c r="B18" s="124" t="s">
        <v>163</v>
      </c>
      <c r="C18" s="15" t="s">
        <v>248</v>
      </c>
      <c r="D18" s="15" t="s">
        <v>248</v>
      </c>
      <c r="E18" s="8">
        <v>0</v>
      </c>
      <c r="F18" s="8">
        <v>0</v>
      </c>
      <c r="G18" s="61">
        <f t="shared" si="0"/>
        <v>0</v>
      </c>
      <c r="H18" s="16">
        <f t="shared" si="1"/>
        <v>0</v>
      </c>
    </row>
    <row r="19" spans="1:8" s="17" customFormat="1" ht="18" customHeight="1">
      <c r="A19" s="9">
        <v>17</v>
      </c>
      <c r="B19" s="124" t="s">
        <v>164</v>
      </c>
      <c r="C19" s="15" t="s">
        <v>248</v>
      </c>
      <c r="D19" s="15" t="s">
        <v>248</v>
      </c>
      <c r="E19" s="8">
        <v>0</v>
      </c>
      <c r="F19" s="8">
        <v>0</v>
      </c>
      <c r="G19" s="61">
        <f t="shared" si="0"/>
        <v>0</v>
      </c>
      <c r="H19" s="16">
        <f t="shared" si="1"/>
        <v>0</v>
      </c>
    </row>
    <row r="20" spans="1:8" s="17" customFormat="1" ht="18" customHeight="1">
      <c r="A20" s="9">
        <v>18</v>
      </c>
      <c r="B20" s="124" t="s">
        <v>165</v>
      </c>
      <c r="C20" s="15" t="s">
        <v>248</v>
      </c>
      <c r="D20" s="15" t="s">
        <v>248</v>
      </c>
      <c r="E20" s="8">
        <v>0</v>
      </c>
      <c r="F20" s="8">
        <v>0</v>
      </c>
      <c r="G20" s="61">
        <f t="shared" si="0"/>
        <v>0</v>
      </c>
      <c r="H20" s="16">
        <f t="shared" si="1"/>
        <v>0</v>
      </c>
    </row>
    <row r="21" spans="1:8" s="17" customFormat="1" ht="18" customHeight="1">
      <c r="A21" s="9">
        <v>19</v>
      </c>
      <c r="B21" s="124" t="s">
        <v>166</v>
      </c>
      <c r="C21" s="15" t="s">
        <v>248</v>
      </c>
      <c r="D21" s="15" t="s">
        <v>248</v>
      </c>
      <c r="E21" s="8">
        <v>0</v>
      </c>
      <c r="F21" s="8">
        <v>0</v>
      </c>
      <c r="G21" s="61">
        <f t="shared" si="0"/>
        <v>0</v>
      </c>
      <c r="H21" s="16">
        <f t="shared" si="1"/>
        <v>0</v>
      </c>
    </row>
    <row r="22" spans="1:8" s="17" customFormat="1" ht="18" customHeight="1">
      <c r="A22" s="9">
        <v>20</v>
      </c>
      <c r="B22" s="124" t="s">
        <v>167</v>
      </c>
      <c r="C22" s="15" t="s">
        <v>248</v>
      </c>
      <c r="D22" s="15" t="s">
        <v>248</v>
      </c>
      <c r="E22" s="8">
        <v>0</v>
      </c>
      <c r="F22" s="8">
        <v>0</v>
      </c>
      <c r="G22" s="61">
        <f t="shared" si="0"/>
        <v>0</v>
      </c>
      <c r="H22" s="16">
        <f t="shared" si="1"/>
        <v>0</v>
      </c>
    </row>
    <row r="23" spans="1:8" s="17" customFormat="1" ht="18" customHeight="1">
      <c r="A23" s="9">
        <v>21</v>
      </c>
      <c r="B23" s="124" t="s">
        <v>168</v>
      </c>
      <c r="C23" s="15" t="s">
        <v>248</v>
      </c>
      <c r="D23" s="15" t="s">
        <v>248</v>
      </c>
      <c r="E23" s="8">
        <v>0</v>
      </c>
      <c r="F23" s="8">
        <v>0</v>
      </c>
      <c r="G23" s="61">
        <f t="shared" si="0"/>
        <v>0</v>
      </c>
      <c r="H23" s="16">
        <f t="shared" si="1"/>
        <v>0</v>
      </c>
    </row>
    <row r="24" spans="1:8" s="17" customFormat="1" ht="18" customHeight="1">
      <c r="A24" s="9">
        <v>22</v>
      </c>
      <c r="B24" s="124" t="s">
        <v>169</v>
      </c>
      <c r="C24" s="15" t="s">
        <v>248</v>
      </c>
      <c r="D24" s="15" t="s">
        <v>248</v>
      </c>
      <c r="E24" s="8">
        <v>0</v>
      </c>
      <c r="F24" s="8">
        <v>0</v>
      </c>
      <c r="G24" s="61">
        <f t="shared" si="0"/>
        <v>0</v>
      </c>
      <c r="H24" s="16">
        <f t="shared" si="1"/>
        <v>0</v>
      </c>
    </row>
    <row r="25" spans="1:8" s="17" customFormat="1" ht="18" customHeight="1">
      <c r="A25" s="9">
        <v>23</v>
      </c>
      <c r="B25" s="124" t="s">
        <v>170</v>
      </c>
      <c r="C25" s="15" t="s">
        <v>248</v>
      </c>
      <c r="D25" s="15" t="s">
        <v>248</v>
      </c>
      <c r="E25" s="8">
        <v>0</v>
      </c>
      <c r="F25" s="8">
        <v>0</v>
      </c>
      <c r="G25" s="61">
        <f t="shared" si="0"/>
        <v>0</v>
      </c>
      <c r="H25" s="16">
        <f t="shared" si="1"/>
        <v>0</v>
      </c>
    </row>
    <row r="26" spans="1:8" s="17" customFormat="1" ht="18" customHeight="1">
      <c r="A26" s="9">
        <v>24</v>
      </c>
      <c r="B26" s="124" t="s">
        <v>171</v>
      </c>
      <c r="C26" s="15" t="s">
        <v>248</v>
      </c>
      <c r="D26" s="15" t="s">
        <v>248</v>
      </c>
      <c r="E26" s="8">
        <v>0</v>
      </c>
      <c r="F26" s="8">
        <v>0</v>
      </c>
      <c r="G26" s="61">
        <f t="shared" si="0"/>
        <v>0</v>
      </c>
      <c r="H26" s="16">
        <f t="shared" si="1"/>
        <v>0</v>
      </c>
    </row>
    <row r="27" spans="1:8" s="17" customFormat="1" ht="18" customHeight="1">
      <c r="A27" s="9">
        <v>25</v>
      </c>
      <c r="B27" s="124" t="s">
        <v>172</v>
      </c>
      <c r="C27" s="15" t="s">
        <v>248</v>
      </c>
      <c r="D27" s="15" t="s">
        <v>248</v>
      </c>
      <c r="E27" s="8">
        <v>0</v>
      </c>
      <c r="F27" s="8">
        <v>0</v>
      </c>
      <c r="G27" s="61">
        <f t="shared" si="0"/>
        <v>0</v>
      </c>
      <c r="H27" s="16">
        <f t="shared" si="1"/>
        <v>0</v>
      </c>
    </row>
    <row r="28" spans="1:8" s="17" customFormat="1" ht="18" customHeight="1">
      <c r="A28" s="9">
        <v>26</v>
      </c>
      <c r="B28" s="124" t="s">
        <v>173</v>
      </c>
      <c r="C28" s="15" t="s">
        <v>248</v>
      </c>
      <c r="D28" s="15" t="s">
        <v>248</v>
      </c>
      <c r="E28" s="8">
        <v>0</v>
      </c>
      <c r="F28" s="8">
        <v>0</v>
      </c>
      <c r="G28" s="61">
        <f t="shared" si="0"/>
        <v>0</v>
      </c>
      <c r="H28" s="16">
        <f t="shared" si="1"/>
        <v>0</v>
      </c>
    </row>
    <row r="29" spans="1:8" s="17" customFormat="1" ht="18" customHeight="1">
      <c r="A29" s="9">
        <v>27</v>
      </c>
      <c r="B29" s="124" t="s">
        <v>174</v>
      </c>
      <c r="C29" s="15" t="s">
        <v>248</v>
      </c>
      <c r="D29" s="15" t="s">
        <v>248</v>
      </c>
      <c r="E29" s="8">
        <v>0</v>
      </c>
      <c r="F29" s="8">
        <v>0</v>
      </c>
      <c r="G29" s="61">
        <f t="shared" si="0"/>
        <v>0</v>
      </c>
      <c r="H29" s="16">
        <f t="shared" si="1"/>
        <v>0</v>
      </c>
    </row>
    <row r="30" spans="1:8" s="17" customFormat="1" ht="18" customHeight="1">
      <c r="A30" s="9">
        <v>28</v>
      </c>
      <c r="B30" s="124" t="s">
        <v>175</v>
      </c>
      <c r="C30" s="15" t="s">
        <v>248</v>
      </c>
      <c r="D30" s="15" t="s">
        <v>248</v>
      </c>
      <c r="E30" s="8">
        <v>0</v>
      </c>
      <c r="F30" s="8">
        <v>0</v>
      </c>
      <c r="G30" s="61">
        <f t="shared" si="0"/>
        <v>0</v>
      </c>
      <c r="H30" s="16">
        <f t="shared" si="1"/>
        <v>0</v>
      </c>
    </row>
    <row r="31" spans="1:8" s="17" customFormat="1" ht="18" customHeight="1">
      <c r="A31" s="9">
        <v>29</v>
      </c>
      <c r="B31" s="124" t="s">
        <v>176</v>
      </c>
      <c r="C31" s="15" t="s">
        <v>248</v>
      </c>
      <c r="D31" s="15" t="s">
        <v>248</v>
      </c>
      <c r="E31" s="8">
        <v>0</v>
      </c>
      <c r="F31" s="8">
        <v>0</v>
      </c>
      <c r="G31" s="61">
        <f t="shared" si="0"/>
        <v>0</v>
      </c>
      <c r="H31" s="16">
        <f t="shared" si="1"/>
        <v>0</v>
      </c>
    </row>
    <row r="32" spans="1:8" s="17" customFormat="1" ht="18" customHeight="1">
      <c r="A32" s="9">
        <v>30</v>
      </c>
      <c r="B32" s="124" t="s">
        <v>177</v>
      </c>
      <c r="C32" s="15" t="s">
        <v>248</v>
      </c>
      <c r="D32" s="15" t="s">
        <v>248</v>
      </c>
      <c r="E32" s="8">
        <v>0</v>
      </c>
      <c r="F32" s="8">
        <v>0</v>
      </c>
      <c r="G32" s="61">
        <f t="shared" si="0"/>
        <v>0</v>
      </c>
      <c r="H32" s="16">
        <f t="shared" si="1"/>
        <v>0</v>
      </c>
    </row>
    <row r="33" spans="1:8" s="17" customFormat="1" ht="18" customHeight="1">
      <c r="A33" s="9">
        <v>31</v>
      </c>
      <c r="B33" s="124" t="s">
        <v>178</v>
      </c>
      <c r="C33" s="15" t="s">
        <v>248</v>
      </c>
      <c r="D33" s="15" t="s">
        <v>248</v>
      </c>
      <c r="E33" s="8">
        <v>0</v>
      </c>
      <c r="F33" s="8">
        <v>0</v>
      </c>
      <c r="G33" s="61">
        <f t="shared" si="0"/>
        <v>0</v>
      </c>
      <c r="H33" s="16">
        <f t="shared" si="1"/>
        <v>0</v>
      </c>
    </row>
    <row r="34" spans="1:8" s="17" customFormat="1" ht="18" customHeight="1">
      <c r="A34" s="9">
        <v>32</v>
      </c>
      <c r="B34" s="124" t="s">
        <v>179</v>
      </c>
      <c r="C34" s="15" t="s">
        <v>248</v>
      </c>
      <c r="D34" s="15" t="s">
        <v>248</v>
      </c>
      <c r="E34" s="8">
        <v>0</v>
      </c>
      <c r="F34" s="8">
        <v>0</v>
      </c>
      <c r="G34" s="61">
        <f t="shared" si="0"/>
        <v>0</v>
      </c>
      <c r="H34" s="16">
        <f t="shared" si="1"/>
        <v>0</v>
      </c>
    </row>
    <row r="35" spans="1:8" s="17" customFormat="1" ht="18" customHeight="1">
      <c r="A35" s="9">
        <v>33</v>
      </c>
      <c r="B35" s="124" t="s">
        <v>180</v>
      </c>
      <c r="C35" s="15" t="s">
        <v>248</v>
      </c>
      <c r="D35" s="15" t="s">
        <v>248</v>
      </c>
      <c r="E35" s="8">
        <v>0</v>
      </c>
      <c r="F35" s="8">
        <v>0</v>
      </c>
      <c r="G35" s="61">
        <f t="shared" si="0"/>
        <v>0</v>
      </c>
      <c r="H35" s="16">
        <f t="shared" si="1"/>
        <v>0</v>
      </c>
    </row>
    <row r="36" spans="1:8" s="20" customFormat="1" ht="20.100000000000001" hidden="1" customHeight="1">
      <c r="A36" s="200" t="s">
        <v>18</v>
      </c>
      <c r="B36" s="200"/>
      <c r="C36" s="19">
        <v>0</v>
      </c>
      <c r="D36" s="19">
        <v>0</v>
      </c>
      <c r="E36" s="8">
        <v>0</v>
      </c>
      <c r="F36" s="8">
        <v>0</v>
      </c>
      <c r="G36" s="8">
        <v>0</v>
      </c>
      <c r="H36" s="16"/>
    </row>
  </sheetData>
  <mergeCells count="2">
    <mergeCell ref="A1:H1"/>
    <mergeCell ref="A36:B36"/>
  </mergeCells>
  <pageMargins left="0.70866141732283472" right="0.70866141732283472" top="0.74803149606299213" bottom="0.74803149606299213" header="0.31496062992125984" footer="0.31496062992125984"/>
  <pageSetup paperSize="9" scale="86" fitToHeight="0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1396-F9E2-43EC-91B0-3693C682D9A4}">
  <sheetPr codeName="Sheet16">
    <tabColor rgb="FF7030A0"/>
    <pageSetUpPr fitToPage="1"/>
  </sheetPr>
  <dimension ref="A1:E37"/>
  <sheetViews>
    <sheetView showGridLines="0" zoomScale="130" zoomScaleNormal="130" workbookViewId="0">
      <pane ySplit="2" topLeftCell="A3" activePane="bottomLeft" state="frozen"/>
      <selection pane="bottomLeft" activeCell="E3" sqref="E3:E35"/>
    </sheetView>
  </sheetViews>
  <sheetFormatPr defaultColWidth="8.88671875" defaultRowHeight="14.4"/>
  <cols>
    <col min="1" max="1" width="6.5546875" style="29" customWidth="1"/>
    <col min="2" max="2" width="32.5546875" style="30" customWidth="1"/>
    <col min="3" max="3" width="20.109375" style="30" customWidth="1"/>
    <col min="4" max="4" width="14.5546875" style="21" customWidth="1"/>
    <col min="5" max="5" width="12" style="21" customWidth="1"/>
    <col min="6" max="16384" width="8.88671875" style="21"/>
  </cols>
  <sheetData>
    <row r="1" spans="1:5" ht="28.5" customHeight="1">
      <c r="A1" s="201" t="s">
        <v>187</v>
      </c>
      <c r="B1" s="202"/>
      <c r="C1" s="202"/>
      <c r="D1" s="202"/>
      <c r="E1" s="203"/>
    </row>
    <row r="2" spans="1:5" s="23" customFormat="1" ht="27.6" customHeight="1">
      <c r="A2" s="22" t="s">
        <v>12</v>
      </c>
      <c r="B2" s="22" t="s">
        <v>20</v>
      </c>
      <c r="C2" s="22" t="s">
        <v>21</v>
      </c>
      <c r="D2" s="154" t="s">
        <v>22</v>
      </c>
      <c r="E2" s="22" t="s">
        <v>7</v>
      </c>
    </row>
    <row r="3" spans="1:5" s="23" customFormat="1" ht="17.100000000000001" customHeight="1">
      <c r="A3" s="24">
        <v>1</v>
      </c>
      <c r="B3" s="124" t="s">
        <v>148</v>
      </c>
      <c r="C3" s="25" t="s">
        <v>23</v>
      </c>
      <c r="D3" s="155">
        <v>100</v>
      </c>
      <c r="E3" s="26">
        <f>D3*2.5%</f>
        <v>2.5</v>
      </c>
    </row>
    <row r="4" spans="1:5" s="23" customFormat="1" ht="17.100000000000001" customHeight="1">
      <c r="A4" s="24">
        <v>2</v>
      </c>
      <c r="B4" s="124" t="s">
        <v>149</v>
      </c>
      <c r="C4" s="25" t="s">
        <v>23</v>
      </c>
      <c r="D4" s="155">
        <v>100</v>
      </c>
      <c r="E4" s="26">
        <f t="shared" ref="E4:E35" si="0">D4*2.5%</f>
        <v>2.5</v>
      </c>
    </row>
    <row r="5" spans="1:5" s="23" customFormat="1" ht="17.100000000000001" customHeight="1">
      <c r="A5" s="24">
        <v>3</v>
      </c>
      <c r="B5" s="124" t="s">
        <v>150</v>
      </c>
      <c r="C5" s="25" t="s">
        <v>23</v>
      </c>
      <c r="D5" s="155">
        <v>100</v>
      </c>
      <c r="E5" s="26">
        <f t="shared" si="0"/>
        <v>2.5</v>
      </c>
    </row>
    <row r="6" spans="1:5" s="23" customFormat="1" ht="17.100000000000001" customHeight="1">
      <c r="A6" s="24">
        <v>4</v>
      </c>
      <c r="B6" s="124" t="s">
        <v>151</v>
      </c>
      <c r="C6" s="25" t="s">
        <v>23</v>
      </c>
      <c r="D6" s="155">
        <v>100</v>
      </c>
      <c r="E6" s="26">
        <f t="shared" si="0"/>
        <v>2.5</v>
      </c>
    </row>
    <row r="7" spans="1:5" s="23" customFormat="1" ht="17.100000000000001" customHeight="1">
      <c r="A7" s="24">
        <v>5</v>
      </c>
      <c r="B7" s="124" t="s">
        <v>152</v>
      </c>
      <c r="C7" s="25" t="s">
        <v>23</v>
      </c>
      <c r="D7" s="155">
        <v>100</v>
      </c>
      <c r="E7" s="26">
        <f t="shared" si="0"/>
        <v>2.5</v>
      </c>
    </row>
    <row r="8" spans="1:5" s="23" customFormat="1" ht="17.100000000000001" customHeight="1">
      <c r="A8" s="24">
        <v>6</v>
      </c>
      <c r="B8" s="124" t="s">
        <v>153</v>
      </c>
      <c r="C8" s="25" t="s">
        <v>23</v>
      </c>
      <c r="D8" s="155">
        <v>100</v>
      </c>
      <c r="E8" s="26">
        <f t="shared" si="0"/>
        <v>2.5</v>
      </c>
    </row>
    <row r="9" spans="1:5" s="23" customFormat="1" ht="17.100000000000001" customHeight="1">
      <c r="A9" s="24">
        <v>7</v>
      </c>
      <c r="B9" s="124" t="s">
        <v>154</v>
      </c>
      <c r="C9" s="25" t="s">
        <v>23</v>
      </c>
      <c r="D9" s="155">
        <v>100</v>
      </c>
      <c r="E9" s="26">
        <f t="shared" si="0"/>
        <v>2.5</v>
      </c>
    </row>
    <row r="10" spans="1:5" s="23" customFormat="1" ht="17.100000000000001" customHeight="1">
      <c r="A10" s="24">
        <v>8</v>
      </c>
      <c r="B10" s="124" t="s">
        <v>155</v>
      </c>
      <c r="C10" s="25" t="s">
        <v>23</v>
      </c>
      <c r="D10" s="155">
        <v>100</v>
      </c>
      <c r="E10" s="26">
        <f t="shared" si="0"/>
        <v>2.5</v>
      </c>
    </row>
    <row r="11" spans="1:5" s="23" customFormat="1" ht="17.100000000000001" customHeight="1">
      <c r="A11" s="24">
        <v>9</v>
      </c>
      <c r="B11" s="124" t="s">
        <v>156</v>
      </c>
      <c r="C11" s="25" t="s">
        <v>23</v>
      </c>
      <c r="D11" s="155">
        <v>100</v>
      </c>
      <c r="E11" s="26">
        <f t="shared" si="0"/>
        <v>2.5</v>
      </c>
    </row>
    <row r="12" spans="1:5" s="23" customFormat="1" ht="17.100000000000001" customHeight="1">
      <c r="A12" s="24">
        <v>10</v>
      </c>
      <c r="B12" s="124" t="s">
        <v>157</v>
      </c>
      <c r="C12" s="25" t="s">
        <v>23</v>
      </c>
      <c r="D12" s="155">
        <v>100</v>
      </c>
      <c r="E12" s="26">
        <f t="shared" si="0"/>
        <v>2.5</v>
      </c>
    </row>
    <row r="13" spans="1:5" s="23" customFormat="1" ht="17.100000000000001" customHeight="1">
      <c r="A13" s="24">
        <v>11</v>
      </c>
      <c r="B13" s="124" t="s">
        <v>158</v>
      </c>
      <c r="C13" s="25" t="s">
        <v>23</v>
      </c>
      <c r="D13" s="155">
        <v>100</v>
      </c>
      <c r="E13" s="26">
        <f t="shared" si="0"/>
        <v>2.5</v>
      </c>
    </row>
    <row r="14" spans="1:5" s="23" customFormat="1" ht="17.100000000000001" customHeight="1">
      <c r="A14" s="24">
        <v>12</v>
      </c>
      <c r="B14" s="124" t="s">
        <v>159</v>
      </c>
      <c r="C14" s="25" t="s">
        <v>23</v>
      </c>
      <c r="D14" s="155">
        <v>100</v>
      </c>
      <c r="E14" s="26">
        <f t="shared" si="0"/>
        <v>2.5</v>
      </c>
    </row>
    <row r="15" spans="1:5" s="23" customFormat="1" ht="17.100000000000001" customHeight="1">
      <c r="A15" s="24">
        <v>13</v>
      </c>
      <c r="B15" s="124" t="s">
        <v>160</v>
      </c>
      <c r="C15" s="25" t="s">
        <v>23</v>
      </c>
      <c r="D15" s="155">
        <v>100</v>
      </c>
      <c r="E15" s="26">
        <f t="shared" si="0"/>
        <v>2.5</v>
      </c>
    </row>
    <row r="16" spans="1:5" s="23" customFormat="1" ht="17.100000000000001" customHeight="1">
      <c r="A16" s="24">
        <v>14</v>
      </c>
      <c r="B16" s="124" t="s">
        <v>161</v>
      </c>
      <c r="C16" s="25" t="s">
        <v>23</v>
      </c>
      <c r="D16" s="155">
        <v>100</v>
      </c>
      <c r="E16" s="26">
        <f t="shared" si="0"/>
        <v>2.5</v>
      </c>
    </row>
    <row r="17" spans="1:5" s="23" customFormat="1" ht="17.100000000000001" customHeight="1">
      <c r="A17" s="24">
        <v>15</v>
      </c>
      <c r="B17" s="124" t="s">
        <v>162</v>
      </c>
      <c r="C17" s="25" t="s">
        <v>23</v>
      </c>
      <c r="D17" s="155">
        <v>100</v>
      </c>
      <c r="E17" s="26">
        <f t="shared" si="0"/>
        <v>2.5</v>
      </c>
    </row>
    <row r="18" spans="1:5" s="23" customFormat="1" ht="17.100000000000001" customHeight="1">
      <c r="A18" s="24">
        <v>16</v>
      </c>
      <c r="B18" s="124" t="s">
        <v>163</v>
      </c>
      <c r="C18" s="25" t="s">
        <v>23</v>
      </c>
      <c r="D18" s="155">
        <v>100</v>
      </c>
      <c r="E18" s="26">
        <f t="shared" si="0"/>
        <v>2.5</v>
      </c>
    </row>
    <row r="19" spans="1:5" s="23" customFormat="1" ht="17.100000000000001" customHeight="1">
      <c r="A19" s="24">
        <v>17</v>
      </c>
      <c r="B19" s="124" t="s">
        <v>164</v>
      </c>
      <c r="C19" s="25" t="s">
        <v>23</v>
      </c>
      <c r="D19" s="155">
        <v>100</v>
      </c>
      <c r="E19" s="26">
        <f t="shared" si="0"/>
        <v>2.5</v>
      </c>
    </row>
    <row r="20" spans="1:5" s="23" customFormat="1" ht="17.100000000000001" customHeight="1">
      <c r="A20" s="24">
        <v>18</v>
      </c>
      <c r="B20" s="124" t="s">
        <v>165</v>
      </c>
      <c r="C20" s="25" t="s">
        <v>23</v>
      </c>
      <c r="D20" s="155">
        <v>100</v>
      </c>
      <c r="E20" s="26">
        <f t="shared" si="0"/>
        <v>2.5</v>
      </c>
    </row>
    <row r="21" spans="1:5" s="23" customFormat="1" ht="17.100000000000001" customHeight="1">
      <c r="A21" s="24">
        <v>19</v>
      </c>
      <c r="B21" s="124" t="s">
        <v>166</v>
      </c>
      <c r="C21" s="25" t="s">
        <v>23</v>
      </c>
      <c r="D21" s="155">
        <v>100</v>
      </c>
      <c r="E21" s="26">
        <f t="shared" si="0"/>
        <v>2.5</v>
      </c>
    </row>
    <row r="22" spans="1:5" s="23" customFormat="1" ht="17.100000000000001" customHeight="1">
      <c r="A22" s="24">
        <v>20</v>
      </c>
      <c r="B22" s="124" t="s">
        <v>167</v>
      </c>
      <c r="C22" s="25" t="s">
        <v>23</v>
      </c>
      <c r="D22" s="155">
        <v>100</v>
      </c>
      <c r="E22" s="26">
        <f t="shared" si="0"/>
        <v>2.5</v>
      </c>
    </row>
    <row r="23" spans="1:5" s="23" customFormat="1" ht="17.100000000000001" customHeight="1">
      <c r="A23" s="24">
        <v>21</v>
      </c>
      <c r="B23" s="124" t="s">
        <v>168</v>
      </c>
      <c r="C23" s="25" t="s">
        <v>23</v>
      </c>
      <c r="D23" s="155">
        <v>100</v>
      </c>
      <c r="E23" s="26">
        <f t="shared" si="0"/>
        <v>2.5</v>
      </c>
    </row>
    <row r="24" spans="1:5" s="23" customFormat="1" ht="17.100000000000001" customHeight="1">
      <c r="A24" s="24">
        <v>22</v>
      </c>
      <c r="B24" s="124" t="s">
        <v>169</v>
      </c>
      <c r="C24" s="25" t="s">
        <v>23</v>
      </c>
      <c r="D24" s="155">
        <v>100</v>
      </c>
      <c r="E24" s="26">
        <f t="shared" si="0"/>
        <v>2.5</v>
      </c>
    </row>
    <row r="25" spans="1:5" s="23" customFormat="1" ht="17.100000000000001" customHeight="1">
      <c r="A25" s="24">
        <v>23</v>
      </c>
      <c r="B25" s="124" t="s">
        <v>170</v>
      </c>
      <c r="C25" s="25" t="s">
        <v>23</v>
      </c>
      <c r="D25" s="155">
        <v>100</v>
      </c>
      <c r="E25" s="26">
        <f t="shared" si="0"/>
        <v>2.5</v>
      </c>
    </row>
    <row r="26" spans="1:5" s="23" customFormat="1" ht="17.100000000000001" customHeight="1">
      <c r="A26" s="24">
        <v>24</v>
      </c>
      <c r="B26" s="124" t="s">
        <v>171</v>
      </c>
      <c r="C26" s="25" t="s">
        <v>23</v>
      </c>
      <c r="D26" s="155">
        <v>100</v>
      </c>
      <c r="E26" s="26">
        <f t="shared" si="0"/>
        <v>2.5</v>
      </c>
    </row>
    <row r="27" spans="1:5" s="23" customFormat="1" ht="17.100000000000001" customHeight="1">
      <c r="A27" s="24">
        <v>25</v>
      </c>
      <c r="B27" s="124" t="s">
        <v>172</v>
      </c>
      <c r="C27" s="25" t="s">
        <v>23</v>
      </c>
      <c r="D27" s="155">
        <v>100</v>
      </c>
      <c r="E27" s="26">
        <f t="shared" si="0"/>
        <v>2.5</v>
      </c>
    </row>
    <row r="28" spans="1:5" s="23" customFormat="1" ht="17.100000000000001" customHeight="1">
      <c r="A28" s="24">
        <v>26</v>
      </c>
      <c r="B28" s="124" t="s">
        <v>173</v>
      </c>
      <c r="C28" s="25" t="s">
        <v>23</v>
      </c>
      <c r="D28" s="155">
        <v>100</v>
      </c>
      <c r="E28" s="26">
        <f t="shared" si="0"/>
        <v>2.5</v>
      </c>
    </row>
    <row r="29" spans="1:5" s="23" customFormat="1" ht="17.100000000000001" customHeight="1">
      <c r="A29" s="24">
        <v>27</v>
      </c>
      <c r="B29" s="124" t="s">
        <v>174</v>
      </c>
      <c r="C29" s="25" t="s">
        <v>23</v>
      </c>
      <c r="D29" s="155">
        <v>100</v>
      </c>
      <c r="E29" s="26">
        <f t="shared" si="0"/>
        <v>2.5</v>
      </c>
    </row>
    <row r="30" spans="1:5" s="23" customFormat="1" ht="17.100000000000001" customHeight="1">
      <c r="A30" s="24">
        <v>28</v>
      </c>
      <c r="B30" s="124" t="s">
        <v>175</v>
      </c>
      <c r="C30" s="25" t="s">
        <v>23</v>
      </c>
      <c r="D30" s="155">
        <v>100</v>
      </c>
      <c r="E30" s="26">
        <f t="shared" si="0"/>
        <v>2.5</v>
      </c>
    </row>
    <row r="31" spans="1:5" s="23" customFormat="1" ht="17.100000000000001" customHeight="1">
      <c r="A31" s="24">
        <v>29</v>
      </c>
      <c r="B31" s="124" t="s">
        <v>176</v>
      </c>
      <c r="C31" s="25" t="s">
        <v>23</v>
      </c>
      <c r="D31" s="155">
        <v>100</v>
      </c>
      <c r="E31" s="26">
        <f t="shared" si="0"/>
        <v>2.5</v>
      </c>
    </row>
    <row r="32" spans="1:5" s="23" customFormat="1" ht="17.100000000000001" customHeight="1">
      <c r="A32" s="24">
        <v>30</v>
      </c>
      <c r="B32" s="124" t="s">
        <v>177</v>
      </c>
      <c r="C32" s="25" t="s">
        <v>23</v>
      </c>
      <c r="D32" s="155">
        <v>100</v>
      </c>
      <c r="E32" s="26">
        <f t="shared" si="0"/>
        <v>2.5</v>
      </c>
    </row>
    <row r="33" spans="1:5" s="23" customFormat="1" ht="17.100000000000001" customHeight="1">
      <c r="A33" s="24">
        <v>31</v>
      </c>
      <c r="B33" s="124" t="s">
        <v>178</v>
      </c>
      <c r="C33" s="25" t="s">
        <v>23</v>
      </c>
      <c r="D33" s="155">
        <v>100</v>
      </c>
      <c r="E33" s="26">
        <f t="shared" si="0"/>
        <v>2.5</v>
      </c>
    </row>
    <row r="34" spans="1:5" s="23" customFormat="1" ht="17.100000000000001" customHeight="1">
      <c r="A34" s="24">
        <v>32</v>
      </c>
      <c r="B34" s="124" t="s">
        <v>179</v>
      </c>
      <c r="C34" s="25" t="s">
        <v>23</v>
      </c>
      <c r="D34" s="155">
        <v>100</v>
      </c>
      <c r="E34" s="26">
        <f t="shared" si="0"/>
        <v>2.5</v>
      </c>
    </row>
    <row r="35" spans="1:5" s="23" customFormat="1" ht="17.100000000000001" customHeight="1">
      <c r="A35" s="24">
        <v>33</v>
      </c>
      <c r="B35" s="124" t="s">
        <v>180</v>
      </c>
      <c r="C35" s="25" t="s">
        <v>23</v>
      </c>
      <c r="D35" s="155">
        <v>100</v>
      </c>
      <c r="E35" s="26">
        <f t="shared" si="0"/>
        <v>2.5</v>
      </c>
    </row>
    <row r="36" spans="1:5" ht="18" hidden="1" customHeight="1">
      <c r="A36" s="204" t="s">
        <v>8</v>
      </c>
      <c r="B36" s="204"/>
      <c r="C36" s="204"/>
      <c r="D36" s="27">
        <v>100</v>
      </c>
      <c r="E36" s="28"/>
    </row>
    <row r="37" spans="1:5" ht="18" customHeight="1"/>
  </sheetData>
  <mergeCells count="2">
    <mergeCell ref="A1:E1"/>
    <mergeCell ref="A36:C36"/>
  </mergeCells>
  <printOptions horizontalCentered="1"/>
  <pageMargins left="0.55118110236220474" right="0.55118110236220474" top="0.98425196850393704" bottom="0.98425196850393704" header="0.51181102362204722" footer="0.51181102362204722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F7E65-7E46-41A8-BC45-4B9A4E3F3541}">
  <sheetPr codeName="Sheet60">
    <tabColor theme="9" tint="0.39997558519241921"/>
    <pageSetUpPr fitToPage="1"/>
  </sheetPr>
  <dimension ref="A1:O36"/>
  <sheetViews>
    <sheetView zoomScale="130" zoomScaleNormal="130" workbookViewId="0">
      <pane ySplit="2" topLeftCell="A27" activePane="bottomLeft" state="frozen"/>
      <selection pane="bottomLeft" sqref="A1:O1"/>
    </sheetView>
  </sheetViews>
  <sheetFormatPr defaultRowHeight="14.4"/>
  <cols>
    <col min="1" max="1" width="5" bestFit="1" customWidth="1"/>
    <col min="2" max="2" width="21.5546875" customWidth="1"/>
    <col min="3" max="7" width="6.88671875" style="35" customWidth="1"/>
    <col min="8" max="11" width="7.88671875" style="35" customWidth="1"/>
    <col min="12" max="12" width="6.88671875" style="35" customWidth="1"/>
    <col min="13" max="13" width="9.5546875" style="125" customWidth="1"/>
    <col min="14" max="14" width="10.5546875" customWidth="1"/>
    <col min="15" max="15" width="8.88671875" style="36"/>
  </cols>
  <sheetData>
    <row r="1" spans="1:15" ht="24" customHeight="1">
      <c r="A1" s="205" t="s">
        <v>256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42.6" customHeight="1">
      <c r="A2" s="31" t="s">
        <v>12</v>
      </c>
      <c r="B2" s="31" t="s">
        <v>24</v>
      </c>
      <c r="C2" s="32" t="s">
        <v>25</v>
      </c>
      <c r="D2" s="32" t="s">
        <v>26</v>
      </c>
      <c r="E2" s="32" t="s">
        <v>27</v>
      </c>
      <c r="F2" s="32" t="s">
        <v>28</v>
      </c>
      <c r="G2" s="32" t="s">
        <v>29</v>
      </c>
      <c r="H2" s="32" t="s">
        <v>30</v>
      </c>
      <c r="I2" s="32" t="s">
        <v>31</v>
      </c>
      <c r="J2" s="32" t="s">
        <v>32</v>
      </c>
      <c r="K2" s="32" t="s">
        <v>33</v>
      </c>
      <c r="L2" s="32" t="s">
        <v>34</v>
      </c>
      <c r="M2" s="156" t="s">
        <v>35</v>
      </c>
      <c r="N2" s="134" t="s">
        <v>6</v>
      </c>
      <c r="O2" s="157" t="s">
        <v>36</v>
      </c>
    </row>
    <row r="3" spans="1:15" s="17" customFormat="1" ht="23.1" customHeight="1">
      <c r="A3" s="8">
        <v>1</v>
      </c>
      <c r="B3" s="124" t="s">
        <v>148</v>
      </c>
      <c r="C3" s="9">
        <v>1607</v>
      </c>
      <c r="D3" s="9">
        <v>1732</v>
      </c>
      <c r="E3" s="9">
        <v>542</v>
      </c>
      <c r="F3" s="9">
        <v>98</v>
      </c>
      <c r="G3" s="9">
        <v>11171</v>
      </c>
      <c r="H3" s="9">
        <v>6742</v>
      </c>
      <c r="I3" s="9">
        <v>1373</v>
      </c>
      <c r="J3" s="9">
        <v>496</v>
      </c>
      <c r="K3" s="9">
        <v>574</v>
      </c>
      <c r="L3" s="9">
        <v>1613</v>
      </c>
      <c r="M3" s="158">
        <f>SUM(D3:L3)/C3</f>
        <v>15.146857498444307</v>
      </c>
      <c r="N3" s="159">
        <f>ROUND(IF(M3&gt;=$M$36,100,(M3/$M$36)*100),2)</f>
        <v>100</v>
      </c>
      <c r="O3" s="135">
        <f>N3*2.5%</f>
        <v>2.5</v>
      </c>
    </row>
    <row r="4" spans="1:15" s="17" customFormat="1" ht="23.1" customHeight="1">
      <c r="A4" s="8">
        <v>2</v>
      </c>
      <c r="B4" s="124" t="s">
        <v>149</v>
      </c>
      <c r="C4" s="9">
        <v>3631</v>
      </c>
      <c r="D4" s="9">
        <v>3242</v>
      </c>
      <c r="E4" s="9">
        <v>1398</v>
      </c>
      <c r="F4" s="9">
        <v>391</v>
      </c>
      <c r="G4" s="9">
        <v>12263</v>
      </c>
      <c r="H4" s="9">
        <v>16941</v>
      </c>
      <c r="I4" s="9">
        <v>3500</v>
      </c>
      <c r="J4" s="9">
        <v>1449</v>
      </c>
      <c r="K4" s="9">
        <v>2599</v>
      </c>
      <c r="L4" s="9">
        <v>4247</v>
      </c>
      <c r="M4" s="158">
        <f t="shared" ref="M4:M35" si="0">SUM(D4:L4)/C4</f>
        <v>12.676948499036078</v>
      </c>
      <c r="N4" s="159">
        <f t="shared" ref="N4:N35" si="1">ROUND(IF(M4&gt;=$M$36,100,(M4/$M$36)*100),2)</f>
        <v>96.48</v>
      </c>
      <c r="O4" s="135">
        <f t="shared" ref="O4:O35" si="2">N4*2.5%</f>
        <v>2.4120000000000004</v>
      </c>
    </row>
    <row r="5" spans="1:15" s="17" customFormat="1" ht="23.1" customHeight="1">
      <c r="A5" s="8">
        <v>3</v>
      </c>
      <c r="B5" s="124" t="s">
        <v>150</v>
      </c>
      <c r="C5" s="9">
        <v>6259</v>
      </c>
      <c r="D5" s="9">
        <v>3940</v>
      </c>
      <c r="E5" s="9">
        <v>2217</v>
      </c>
      <c r="F5" s="9">
        <v>439</v>
      </c>
      <c r="G5" s="9">
        <v>20753</v>
      </c>
      <c r="H5" s="9">
        <v>21246</v>
      </c>
      <c r="I5" s="9">
        <v>5401</v>
      </c>
      <c r="J5" s="9">
        <v>3310</v>
      </c>
      <c r="K5" s="9">
        <v>3288</v>
      </c>
      <c r="L5" s="9">
        <v>5810</v>
      </c>
      <c r="M5" s="158">
        <f t="shared" si="0"/>
        <v>10.609362517974118</v>
      </c>
      <c r="N5" s="159">
        <f t="shared" si="1"/>
        <v>80.739999999999995</v>
      </c>
      <c r="O5" s="135">
        <f t="shared" si="2"/>
        <v>2.0185</v>
      </c>
    </row>
    <row r="6" spans="1:15" s="17" customFormat="1" ht="23.1" customHeight="1">
      <c r="A6" s="8">
        <v>4</v>
      </c>
      <c r="B6" s="124" t="s">
        <v>151</v>
      </c>
      <c r="C6" s="9">
        <v>1008</v>
      </c>
      <c r="D6" s="9">
        <v>1037</v>
      </c>
      <c r="E6" s="9">
        <v>519</v>
      </c>
      <c r="F6" s="9">
        <v>0</v>
      </c>
      <c r="G6" s="9">
        <v>3882</v>
      </c>
      <c r="H6" s="9">
        <v>5804</v>
      </c>
      <c r="I6" s="9">
        <v>1328</v>
      </c>
      <c r="J6" s="9">
        <v>162</v>
      </c>
      <c r="K6" s="9">
        <v>988</v>
      </c>
      <c r="L6" s="9">
        <v>909</v>
      </c>
      <c r="M6" s="158">
        <f t="shared" si="0"/>
        <v>14.512896825396826</v>
      </c>
      <c r="N6" s="159">
        <f t="shared" si="1"/>
        <v>100</v>
      </c>
      <c r="O6" s="135">
        <f t="shared" si="2"/>
        <v>2.5</v>
      </c>
    </row>
    <row r="7" spans="1:15" s="17" customFormat="1" ht="23.1" customHeight="1">
      <c r="A7" s="8">
        <v>5</v>
      </c>
      <c r="B7" s="124" t="s">
        <v>152</v>
      </c>
      <c r="C7" s="9">
        <v>3339</v>
      </c>
      <c r="D7" s="9">
        <v>3238</v>
      </c>
      <c r="E7" s="9">
        <v>1019</v>
      </c>
      <c r="F7" s="9">
        <v>674</v>
      </c>
      <c r="G7" s="9">
        <v>12033</v>
      </c>
      <c r="H7" s="9">
        <v>14882</v>
      </c>
      <c r="I7" s="9">
        <v>2879</v>
      </c>
      <c r="J7" s="9">
        <v>1448</v>
      </c>
      <c r="K7" s="9">
        <v>1439</v>
      </c>
      <c r="L7" s="9">
        <v>4552</v>
      </c>
      <c r="M7" s="158">
        <f t="shared" si="0"/>
        <v>12.627732854147949</v>
      </c>
      <c r="N7" s="159">
        <f t="shared" si="1"/>
        <v>96.1</v>
      </c>
      <c r="O7" s="135">
        <f t="shared" si="2"/>
        <v>2.4024999999999999</v>
      </c>
    </row>
    <row r="8" spans="1:15" s="17" customFormat="1" ht="23.1" customHeight="1">
      <c r="A8" s="8">
        <v>6</v>
      </c>
      <c r="B8" s="124" t="s">
        <v>153</v>
      </c>
      <c r="C8" s="9">
        <v>2522</v>
      </c>
      <c r="D8" s="9">
        <v>1891</v>
      </c>
      <c r="E8" s="9">
        <v>1194</v>
      </c>
      <c r="F8" s="9">
        <v>109</v>
      </c>
      <c r="G8" s="9">
        <v>8497</v>
      </c>
      <c r="H8" s="9">
        <v>11360</v>
      </c>
      <c r="I8" s="9">
        <v>2220</v>
      </c>
      <c r="J8" s="9">
        <v>804</v>
      </c>
      <c r="K8" s="9">
        <v>945</v>
      </c>
      <c r="L8" s="9">
        <v>2753</v>
      </c>
      <c r="M8" s="158">
        <f t="shared" si="0"/>
        <v>11.805313243457574</v>
      </c>
      <c r="N8" s="159">
        <f t="shared" si="1"/>
        <v>89.84</v>
      </c>
      <c r="O8" s="135">
        <f t="shared" si="2"/>
        <v>2.246</v>
      </c>
    </row>
    <row r="9" spans="1:15" s="17" customFormat="1" ht="23.1" customHeight="1">
      <c r="A9" s="8">
        <v>7</v>
      </c>
      <c r="B9" s="124" t="s">
        <v>154</v>
      </c>
      <c r="C9" s="9">
        <v>1709</v>
      </c>
      <c r="D9" s="9">
        <v>1786</v>
      </c>
      <c r="E9" s="9">
        <v>781</v>
      </c>
      <c r="F9" s="9">
        <v>702</v>
      </c>
      <c r="G9" s="9">
        <v>13590</v>
      </c>
      <c r="H9" s="9">
        <v>6894</v>
      </c>
      <c r="I9" s="9">
        <v>1413</v>
      </c>
      <c r="J9" s="9">
        <v>548</v>
      </c>
      <c r="K9" s="9">
        <v>624</v>
      </c>
      <c r="L9" s="9">
        <v>1443</v>
      </c>
      <c r="M9" s="158">
        <f t="shared" si="0"/>
        <v>16.255705090696313</v>
      </c>
      <c r="N9" s="159">
        <f t="shared" si="1"/>
        <v>100</v>
      </c>
      <c r="O9" s="135">
        <f t="shared" si="2"/>
        <v>2.5</v>
      </c>
    </row>
    <row r="10" spans="1:15" s="17" customFormat="1" ht="23.1" customHeight="1">
      <c r="A10" s="8">
        <v>8</v>
      </c>
      <c r="B10" s="124" t="s">
        <v>155</v>
      </c>
      <c r="C10" s="9">
        <v>4696</v>
      </c>
      <c r="D10" s="9">
        <v>3193</v>
      </c>
      <c r="E10" s="9">
        <v>2439</v>
      </c>
      <c r="F10" s="9">
        <v>258</v>
      </c>
      <c r="G10" s="9">
        <v>18802</v>
      </c>
      <c r="H10" s="9">
        <v>20962</v>
      </c>
      <c r="I10" s="9">
        <v>4028</v>
      </c>
      <c r="J10" s="9">
        <v>1520</v>
      </c>
      <c r="K10" s="9">
        <v>1838</v>
      </c>
      <c r="L10" s="9">
        <v>5208</v>
      </c>
      <c r="M10" s="158">
        <f t="shared" si="0"/>
        <v>12.403747870528109</v>
      </c>
      <c r="N10" s="159">
        <f t="shared" si="1"/>
        <v>94.4</v>
      </c>
      <c r="O10" s="135">
        <f t="shared" si="2"/>
        <v>2.3600000000000003</v>
      </c>
    </row>
    <row r="11" spans="1:15" s="17" customFormat="1" ht="23.1" customHeight="1">
      <c r="A11" s="8">
        <v>9</v>
      </c>
      <c r="B11" s="124" t="s">
        <v>156</v>
      </c>
      <c r="C11" s="9">
        <v>2760</v>
      </c>
      <c r="D11" s="9">
        <v>2900</v>
      </c>
      <c r="E11" s="9">
        <v>920</v>
      </c>
      <c r="F11" s="9">
        <v>76</v>
      </c>
      <c r="G11" s="9">
        <v>9449</v>
      </c>
      <c r="H11" s="9">
        <v>11056</v>
      </c>
      <c r="I11" s="9">
        <v>2282</v>
      </c>
      <c r="J11" s="9">
        <v>855</v>
      </c>
      <c r="K11" s="9">
        <v>852</v>
      </c>
      <c r="L11" s="9">
        <v>3590</v>
      </c>
      <c r="M11" s="158">
        <f t="shared" si="0"/>
        <v>11.586956521739131</v>
      </c>
      <c r="N11" s="159">
        <f t="shared" si="1"/>
        <v>88.18</v>
      </c>
      <c r="O11" s="135">
        <f t="shared" si="2"/>
        <v>2.2045000000000003</v>
      </c>
    </row>
    <row r="12" spans="1:15" s="17" customFormat="1" ht="23.1" customHeight="1">
      <c r="A12" s="8">
        <v>10</v>
      </c>
      <c r="B12" s="124" t="s">
        <v>157</v>
      </c>
      <c r="C12" s="9">
        <v>1607</v>
      </c>
      <c r="D12" s="9">
        <v>1844</v>
      </c>
      <c r="E12" s="9">
        <v>1294</v>
      </c>
      <c r="F12" s="9">
        <v>44</v>
      </c>
      <c r="G12" s="9">
        <v>9746</v>
      </c>
      <c r="H12" s="9">
        <v>7691</v>
      </c>
      <c r="I12" s="9">
        <v>1641</v>
      </c>
      <c r="J12" s="9">
        <v>707</v>
      </c>
      <c r="K12" s="9">
        <v>676</v>
      </c>
      <c r="L12" s="9">
        <v>1913</v>
      </c>
      <c r="M12" s="158">
        <f t="shared" si="0"/>
        <v>15.902924704418171</v>
      </c>
      <c r="N12" s="159">
        <f t="shared" si="1"/>
        <v>100</v>
      </c>
      <c r="O12" s="135">
        <f t="shared" si="2"/>
        <v>2.5</v>
      </c>
    </row>
    <row r="13" spans="1:15" s="17" customFormat="1" ht="23.1" customHeight="1">
      <c r="A13" s="8">
        <v>11</v>
      </c>
      <c r="B13" s="124" t="s">
        <v>158</v>
      </c>
      <c r="C13" s="9">
        <v>1041</v>
      </c>
      <c r="D13" s="9">
        <v>1037</v>
      </c>
      <c r="E13" s="9">
        <v>792</v>
      </c>
      <c r="F13" s="9">
        <v>117</v>
      </c>
      <c r="G13" s="9">
        <v>3017</v>
      </c>
      <c r="H13" s="9">
        <v>4808</v>
      </c>
      <c r="I13" s="9">
        <v>941</v>
      </c>
      <c r="J13" s="9">
        <v>354</v>
      </c>
      <c r="K13" s="9">
        <v>261</v>
      </c>
      <c r="L13" s="9">
        <v>893</v>
      </c>
      <c r="M13" s="158">
        <f t="shared" si="0"/>
        <v>11.738712776176753</v>
      </c>
      <c r="N13" s="159">
        <f t="shared" si="1"/>
        <v>89.34</v>
      </c>
      <c r="O13" s="135">
        <f t="shared" si="2"/>
        <v>2.2335000000000003</v>
      </c>
    </row>
    <row r="14" spans="1:15" s="17" customFormat="1" ht="23.1" customHeight="1">
      <c r="A14" s="8">
        <v>12</v>
      </c>
      <c r="B14" s="124" t="s">
        <v>159</v>
      </c>
      <c r="C14" s="9">
        <v>1775</v>
      </c>
      <c r="D14" s="9">
        <v>1815</v>
      </c>
      <c r="E14" s="9">
        <v>544</v>
      </c>
      <c r="F14" s="9">
        <v>99</v>
      </c>
      <c r="G14" s="9">
        <v>7318</v>
      </c>
      <c r="H14" s="9">
        <v>8905</v>
      </c>
      <c r="I14" s="9">
        <v>1548</v>
      </c>
      <c r="J14" s="9">
        <v>550</v>
      </c>
      <c r="K14" s="9">
        <v>656</v>
      </c>
      <c r="L14" s="9">
        <v>2118</v>
      </c>
      <c r="M14" s="158">
        <f t="shared" si="0"/>
        <v>13.269295774647887</v>
      </c>
      <c r="N14" s="159">
        <f t="shared" si="1"/>
        <v>100</v>
      </c>
      <c r="O14" s="135">
        <f t="shared" si="2"/>
        <v>2.5</v>
      </c>
    </row>
    <row r="15" spans="1:15" s="17" customFormat="1" ht="23.1" customHeight="1">
      <c r="A15" s="8">
        <v>13</v>
      </c>
      <c r="B15" s="124" t="s">
        <v>160</v>
      </c>
      <c r="C15" s="9">
        <v>3723</v>
      </c>
      <c r="D15" s="9">
        <v>3775</v>
      </c>
      <c r="E15" s="9">
        <v>1663</v>
      </c>
      <c r="F15" s="9">
        <v>232</v>
      </c>
      <c r="G15" s="9">
        <v>16633</v>
      </c>
      <c r="H15" s="9">
        <v>15982</v>
      </c>
      <c r="I15" s="9">
        <v>3242</v>
      </c>
      <c r="J15" s="9">
        <v>1457</v>
      </c>
      <c r="K15" s="9">
        <v>2434</v>
      </c>
      <c r="L15" s="9">
        <v>3088</v>
      </c>
      <c r="M15" s="158">
        <f t="shared" si="0"/>
        <v>13.028740263228579</v>
      </c>
      <c r="N15" s="159">
        <f t="shared" si="1"/>
        <v>99.15</v>
      </c>
      <c r="O15" s="135">
        <f t="shared" si="2"/>
        <v>2.4787500000000002</v>
      </c>
    </row>
    <row r="16" spans="1:15" s="17" customFormat="1" ht="23.1" customHeight="1">
      <c r="A16" s="8">
        <v>14</v>
      </c>
      <c r="B16" s="124" t="s">
        <v>161</v>
      </c>
      <c r="C16" s="9">
        <v>2346</v>
      </c>
      <c r="D16" s="9">
        <v>1840</v>
      </c>
      <c r="E16" s="9">
        <v>696</v>
      </c>
      <c r="F16" s="9">
        <v>261</v>
      </c>
      <c r="G16" s="9">
        <v>12556</v>
      </c>
      <c r="H16" s="9">
        <v>6944</v>
      </c>
      <c r="I16" s="9">
        <v>2198</v>
      </c>
      <c r="J16" s="9">
        <v>674</v>
      </c>
      <c r="K16" s="9">
        <v>651</v>
      </c>
      <c r="L16" s="9">
        <v>2854</v>
      </c>
      <c r="M16" s="158">
        <f t="shared" si="0"/>
        <v>12.222506393861893</v>
      </c>
      <c r="N16" s="159">
        <f t="shared" si="1"/>
        <v>93.02</v>
      </c>
      <c r="O16" s="135">
        <f t="shared" si="2"/>
        <v>2.3254999999999999</v>
      </c>
    </row>
    <row r="17" spans="1:15" s="17" customFormat="1" ht="23.1" customHeight="1">
      <c r="A17" s="8">
        <v>15</v>
      </c>
      <c r="B17" s="124" t="s">
        <v>162</v>
      </c>
      <c r="C17" s="9">
        <v>1927</v>
      </c>
      <c r="D17" s="9">
        <v>1941</v>
      </c>
      <c r="E17" s="9">
        <v>722</v>
      </c>
      <c r="F17" s="9">
        <v>941</v>
      </c>
      <c r="G17" s="9">
        <v>7573</v>
      </c>
      <c r="H17" s="9">
        <v>8454</v>
      </c>
      <c r="I17" s="9">
        <v>1723</v>
      </c>
      <c r="J17" s="9">
        <v>706</v>
      </c>
      <c r="K17" s="9">
        <v>651</v>
      </c>
      <c r="L17" s="9">
        <v>1965</v>
      </c>
      <c r="M17" s="158">
        <f t="shared" si="0"/>
        <v>12.805396990140114</v>
      </c>
      <c r="N17" s="159">
        <f t="shared" si="1"/>
        <v>97.46</v>
      </c>
      <c r="O17" s="135">
        <f t="shared" si="2"/>
        <v>2.4365000000000001</v>
      </c>
    </row>
    <row r="18" spans="1:15" s="17" customFormat="1" ht="23.1" customHeight="1">
      <c r="A18" s="8">
        <v>16</v>
      </c>
      <c r="B18" s="124" t="s">
        <v>163</v>
      </c>
      <c r="C18" s="9">
        <v>841</v>
      </c>
      <c r="D18" s="9">
        <v>556</v>
      </c>
      <c r="E18" s="9">
        <v>80</v>
      </c>
      <c r="F18" s="9">
        <v>5</v>
      </c>
      <c r="G18" s="9">
        <v>3681</v>
      </c>
      <c r="H18" s="9">
        <v>7690</v>
      </c>
      <c r="I18" s="9">
        <v>1018</v>
      </c>
      <c r="J18" s="9">
        <v>25</v>
      </c>
      <c r="K18" s="9">
        <v>419</v>
      </c>
      <c r="L18" s="9">
        <v>2852</v>
      </c>
      <c r="M18" s="158">
        <f t="shared" si="0"/>
        <v>19.412604042806183</v>
      </c>
      <c r="N18" s="159">
        <f t="shared" si="1"/>
        <v>100</v>
      </c>
      <c r="O18" s="135">
        <f t="shared" si="2"/>
        <v>2.5</v>
      </c>
    </row>
    <row r="19" spans="1:15" s="17" customFormat="1" ht="23.1" customHeight="1">
      <c r="A19" s="8">
        <v>17</v>
      </c>
      <c r="B19" s="124" t="s">
        <v>164</v>
      </c>
      <c r="C19" s="9">
        <v>2721</v>
      </c>
      <c r="D19" s="9">
        <v>1011</v>
      </c>
      <c r="E19" s="9">
        <v>799</v>
      </c>
      <c r="F19" s="9">
        <v>236</v>
      </c>
      <c r="G19" s="9">
        <v>16831</v>
      </c>
      <c r="H19" s="9">
        <v>9217</v>
      </c>
      <c r="I19" s="9">
        <v>2518</v>
      </c>
      <c r="J19" s="9">
        <v>881</v>
      </c>
      <c r="K19" s="9">
        <v>1410</v>
      </c>
      <c r="L19" s="9">
        <v>3056</v>
      </c>
      <c r="M19" s="158">
        <f t="shared" si="0"/>
        <v>13.215361999264976</v>
      </c>
      <c r="N19" s="159">
        <f t="shared" si="1"/>
        <v>100</v>
      </c>
      <c r="O19" s="135">
        <f t="shared" si="2"/>
        <v>2.5</v>
      </c>
    </row>
    <row r="20" spans="1:15" s="17" customFormat="1" ht="23.1" customHeight="1">
      <c r="A20" s="8">
        <v>18</v>
      </c>
      <c r="B20" s="124" t="s">
        <v>165</v>
      </c>
      <c r="C20" s="9">
        <v>2455</v>
      </c>
      <c r="D20" s="9">
        <v>2578</v>
      </c>
      <c r="E20" s="9">
        <v>749</v>
      </c>
      <c r="F20" s="9">
        <v>122</v>
      </c>
      <c r="G20" s="9">
        <v>9552</v>
      </c>
      <c r="H20" s="9">
        <v>11021</v>
      </c>
      <c r="I20" s="9">
        <v>1984</v>
      </c>
      <c r="J20" s="9">
        <v>1060</v>
      </c>
      <c r="K20" s="9">
        <v>1321</v>
      </c>
      <c r="L20" s="9">
        <v>3322</v>
      </c>
      <c r="M20" s="158">
        <f t="shared" si="0"/>
        <v>12.916089613034623</v>
      </c>
      <c r="N20" s="159">
        <f t="shared" si="1"/>
        <v>98.3</v>
      </c>
      <c r="O20" s="135">
        <f t="shared" si="2"/>
        <v>2.4575</v>
      </c>
    </row>
    <row r="21" spans="1:15" s="17" customFormat="1" ht="23.1" customHeight="1">
      <c r="A21" s="8">
        <v>19</v>
      </c>
      <c r="B21" s="124" t="s">
        <v>166</v>
      </c>
      <c r="C21" s="9">
        <v>3270</v>
      </c>
      <c r="D21" s="9">
        <v>3302</v>
      </c>
      <c r="E21" s="9">
        <v>673</v>
      </c>
      <c r="F21" s="9">
        <v>1013</v>
      </c>
      <c r="G21" s="9">
        <v>24379</v>
      </c>
      <c r="H21" s="9">
        <v>14801</v>
      </c>
      <c r="I21" s="9">
        <v>2961</v>
      </c>
      <c r="J21" s="9">
        <v>1364</v>
      </c>
      <c r="K21" s="9">
        <v>1324</v>
      </c>
      <c r="L21" s="9">
        <v>3860</v>
      </c>
      <c r="M21" s="158">
        <f t="shared" si="0"/>
        <v>16.414984709480123</v>
      </c>
      <c r="N21" s="159">
        <f t="shared" si="1"/>
        <v>100</v>
      </c>
      <c r="O21" s="135">
        <f t="shared" si="2"/>
        <v>2.5</v>
      </c>
    </row>
    <row r="22" spans="1:15" s="17" customFormat="1" ht="23.1" customHeight="1">
      <c r="A22" s="8">
        <v>20</v>
      </c>
      <c r="B22" s="124" t="s">
        <v>167</v>
      </c>
      <c r="C22" s="9">
        <v>1489</v>
      </c>
      <c r="D22" s="9">
        <v>1521</v>
      </c>
      <c r="E22" s="9">
        <v>798</v>
      </c>
      <c r="F22" s="9">
        <v>122</v>
      </c>
      <c r="G22" s="9">
        <v>5892</v>
      </c>
      <c r="H22" s="9">
        <v>6852</v>
      </c>
      <c r="I22" s="9">
        <v>1428</v>
      </c>
      <c r="J22" s="9">
        <v>626</v>
      </c>
      <c r="K22" s="9">
        <v>778</v>
      </c>
      <c r="L22" s="9">
        <v>1661</v>
      </c>
      <c r="M22" s="158">
        <f t="shared" si="0"/>
        <v>13.215580926796507</v>
      </c>
      <c r="N22" s="159">
        <f t="shared" si="1"/>
        <v>100</v>
      </c>
      <c r="O22" s="135">
        <f t="shared" si="2"/>
        <v>2.5</v>
      </c>
    </row>
    <row r="23" spans="1:15" s="17" customFormat="1" ht="23.1" customHeight="1">
      <c r="A23" s="8">
        <v>21</v>
      </c>
      <c r="B23" s="124" t="s">
        <v>168</v>
      </c>
      <c r="C23" s="9">
        <v>4336</v>
      </c>
      <c r="D23" s="9">
        <v>4098</v>
      </c>
      <c r="E23" s="9">
        <v>2284</v>
      </c>
      <c r="F23" s="9">
        <v>349</v>
      </c>
      <c r="G23" s="9">
        <v>11908</v>
      </c>
      <c r="H23" s="9">
        <v>17530</v>
      </c>
      <c r="I23" s="9">
        <v>4208</v>
      </c>
      <c r="J23" s="9">
        <v>1824</v>
      </c>
      <c r="K23" s="9">
        <v>1495</v>
      </c>
      <c r="L23" s="9">
        <v>4558</v>
      </c>
      <c r="M23" s="158">
        <f t="shared" si="0"/>
        <v>11.12869003690037</v>
      </c>
      <c r="N23" s="159">
        <f t="shared" si="1"/>
        <v>84.69</v>
      </c>
      <c r="O23" s="135">
        <f t="shared" si="2"/>
        <v>2.1172499999999999</v>
      </c>
    </row>
    <row r="24" spans="1:15" s="17" customFormat="1" ht="23.1" customHeight="1">
      <c r="A24" s="8">
        <v>22</v>
      </c>
      <c r="B24" s="124" t="s">
        <v>169</v>
      </c>
      <c r="C24" s="9">
        <v>2364</v>
      </c>
      <c r="D24" s="9">
        <v>2203</v>
      </c>
      <c r="E24" s="9">
        <v>1108</v>
      </c>
      <c r="F24" s="9">
        <v>39</v>
      </c>
      <c r="G24" s="9">
        <v>6377</v>
      </c>
      <c r="H24" s="9">
        <v>9433</v>
      </c>
      <c r="I24" s="9">
        <v>2114</v>
      </c>
      <c r="J24" s="9">
        <v>1009</v>
      </c>
      <c r="K24" s="9">
        <v>933</v>
      </c>
      <c r="L24" s="9">
        <v>2898</v>
      </c>
      <c r="M24" s="158">
        <f t="shared" si="0"/>
        <v>11.046531302876481</v>
      </c>
      <c r="N24" s="159">
        <f t="shared" si="1"/>
        <v>84.07</v>
      </c>
      <c r="O24" s="135">
        <f t="shared" si="2"/>
        <v>2.10175</v>
      </c>
    </row>
    <row r="25" spans="1:15" s="17" customFormat="1" ht="23.1" customHeight="1">
      <c r="A25" s="8">
        <v>23</v>
      </c>
      <c r="B25" s="124" t="s">
        <v>170</v>
      </c>
      <c r="C25" s="9">
        <v>3739</v>
      </c>
      <c r="D25" s="9">
        <v>1780</v>
      </c>
      <c r="E25" s="9">
        <v>2332</v>
      </c>
      <c r="F25" s="9">
        <v>441</v>
      </c>
      <c r="G25" s="9">
        <v>18001</v>
      </c>
      <c r="H25" s="9">
        <v>19026</v>
      </c>
      <c r="I25" s="9">
        <v>3144</v>
      </c>
      <c r="J25" s="9">
        <v>1821</v>
      </c>
      <c r="K25" s="9">
        <v>2016</v>
      </c>
      <c r="L25" s="9">
        <v>3969</v>
      </c>
      <c r="M25" s="158">
        <f t="shared" si="0"/>
        <v>14.049211018989034</v>
      </c>
      <c r="N25" s="159">
        <f t="shared" si="1"/>
        <v>100</v>
      </c>
      <c r="O25" s="135">
        <f t="shared" si="2"/>
        <v>2.5</v>
      </c>
    </row>
    <row r="26" spans="1:15" s="17" customFormat="1" ht="23.1" customHeight="1">
      <c r="A26" s="8">
        <v>24</v>
      </c>
      <c r="B26" s="124" t="s">
        <v>171</v>
      </c>
      <c r="C26" s="9">
        <v>3923</v>
      </c>
      <c r="D26" s="9">
        <v>3234</v>
      </c>
      <c r="E26" s="9">
        <v>1662</v>
      </c>
      <c r="F26" s="9">
        <v>192</v>
      </c>
      <c r="G26" s="9">
        <v>18374</v>
      </c>
      <c r="H26" s="9">
        <v>18143</v>
      </c>
      <c r="I26" s="9">
        <v>3319</v>
      </c>
      <c r="J26" s="9">
        <v>1677</v>
      </c>
      <c r="K26" s="9">
        <v>1306</v>
      </c>
      <c r="L26" s="9">
        <v>5196</v>
      </c>
      <c r="M26" s="158">
        <f t="shared" si="0"/>
        <v>13.536324241651798</v>
      </c>
      <c r="N26" s="159">
        <f t="shared" si="1"/>
        <v>100</v>
      </c>
      <c r="O26" s="135">
        <f t="shared" si="2"/>
        <v>2.5</v>
      </c>
    </row>
    <row r="27" spans="1:15" s="17" customFormat="1" ht="23.1" customHeight="1">
      <c r="A27" s="8">
        <v>25</v>
      </c>
      <c r="B27" s="124" t="s">
        <v>172</v>
      </c>
      <c r="C27" s="9">
        <v>2464</v>
      </c>
      <c r="D27" s="9">
        <v>2783</v>
      </c>
      <c r="E27" s="9">
        <v>716</v>
      </c>
      <c r="F27" s="9">
        <v>79</v>
      </c>
      <c r="G27" s="9">
        <v>13218</v>
      </c>
      <c r="H27" s="9">
        <v>10380</v>
      </c>
      <c r="I27" s="9">
        <v>2091</v>
      </c>
      <c r="J27" s="9">
        <v>1130</v>
      </c>
      <c r="K27" s="9">
        <v>1146</v>
      </c>
      <c r="L27" s="9">
        <v>2986</v>
      </c>
      <c r="M27" s="158">
        <f t="shared" si="0"/>
        <v>14.013392857142858</v>
      </c>
      <c r="N27" s="159">
        <f t="shared" si="1"/>
        <v>100</v>
      </c>
      <c r="O27" s="135">
        <f t="shared" si="2"/>
        <v>2.5</v>
      </c>
    </row>
    <row r="28" spans="1:15" s="17" customFormat="1" ht="23.1" customHeight="1">
      <c r="A28" s="8">
        <v>26</v>
      </c>
      <c r="B28" s="124" t="s">
        <v>173</v>
      </c>
      <c r="C28" s="9">
        <v>2178</v>
      </c>
      <c r="D28" s="9">
        <v>1753</v>
      </c>
      <c r="E28" s="9">
        <v>710</v>
      </c>
      <c r="F28" s="9">
        <v>222</v>
      </c>
      <c r="G28" s="9">
        <v>12536</v>
      </c>
      <c r="H28" s="9">
        <v>6986</v>
      </c>
      <c r="I28" s="9">
        <v>2218</v>
      </c>
      <c r="J28" s="9">
        <v>514</v>
      </c>
      <c r="K28" s="9">
        <v>824</v>
      </c>
      <c r="L28" s="9">
        <v>2560</v>
      </c>
      <c r="M28" s="158">
        <f t="shared" si="0"/>
        <v>13.004132231404959</v>
      </c>
      <c r="N28" s="159">
        <f t="shared" si="1"/>
        <v>98.97</v>
      </c>
      <c r="O28" s="135">
        <f t="shared" si="2"/>
        <v>2.4742500000000001</v>
      </c>
    </row>
    <row r="29" spans="1:15" s="17" customFormat="1" ht="23.1" customHeight="1">
      <c r="A29" s="8">
        <v>27</v>
      </c>
      <c r="B29" s="124" t="s">
        <v>174</v>
      </c>
      <c r="C29" s="9">
        <v>1964</v>
      </c>
      <c r="D29" s="9">
        <v>1618</v>
      </c>
      <c r="E29" s="9">
        <v>1573</v>
      </c>
      <c r="F29" s="9">
        <v>226</v>
      </c>
      <c r="G29" s="9">
        <v>7300</v>
      </c>
      <c r="H29" s="9">
        <v>7715</v>
      </c>
      <c r="I29" s="9">
        <v>1802</v>
      </c>
      <c r="J29" s="9">
        <v>883</v>
      </c>
      <c r="K29" s="9">
        <v>671</v>
      </c>
      <c r="L29" s="9">
        <v>1852</v>
      </c>
      <c r="M29" s="158">
        <f t="shared" si="0"/>
        <v>12.036659877800407</v>
      </c>
      <c r="N29" s="159">
        <f t="shared" si="1"/>
        <v>91.6</v>
      </c>
      <c r="O29" s="135">
        <f t="shared" si="2"/>
        <v>2.29</v>
      </c>
    </row>
    <row r="30" spans="1:15" s="17" customFormat="1" ht="23.1" customHeight="1">
      <c r="A30" s="8">
        <v>28</v>
      </c>
      <c r="B30" s="124" t="s">
        <v>175</v>
      </c>
      <c r="C30" s="9">
        <v>3608</v>
      </c>
      <c r="D30" s="9">
        <v>3716</v>
      </c>
      <c r="E30" s="9">
        <v>969</v>
      </c>
      <c r="F30" s="9">
        <v>205</v>
      </c>
      <c r="G30" s="9">
        <v>6487</v>
      </c>
      <c r="H30" s="9">
        <v>14565</v>
      </c>
      <c r="I30" s="9">
        <v>3155</v>
      </c>
      <c r="J30" s="9">
        <v>1510</v>
      </c>
      <c r="K30" s="9">
        <v>1327</v>
      </c>
      <c r="L30" s="9">
        <v>4000</v>
      </c>
      <c r="M30" s="158">
        <f t="shared" si="0"/>
        <v>9.9595343680709529</v>
      </c>
      <c r="N30" s="159">
        <f t="shared" si="1"/>
        <v>75.8</v>
      </c>
      <c r="O30" s="135">
        <f t="shared" si="2"/>
        <v>1.895</v>
      </c>
    </row>
    <row r="31" spans="1:15" s="17" customFormat="1" ht="23.1" customHeight="1">
      <c r="A31" s="8">
        <v>29</v>
      </c>
      <c r="B31" s="124" t="s">
        <v>176</v>
      </c>
      <c r="C31" s="9">
        <v>3449</v>
      </c>
      <c r="D31" s="9">
        <v>3334</v>
      </c>
      <c r="E31" s="9">
        <v>1015</v>
      </c>
      <c r="F31" s="9">
        <v>226</v>
      </c>
      <c r="G31" s="9">
        <v>13897</v>
      </c>
      <c r="H31" s="9">
        <v>12343</v>
      </c>
      <c r="I31" s="9">
        <v>3243</v>
      </c>
      <c r="J31" s="9">
        <v>1250</v>
      </c>
      <c r="K31" s="9">
        <v>2382</v>
      </c>
      <c r="L31" s="9">
        <v>3987</v>
      </c>
      <c r="M31" s="158">
        <f t="shared" si="0"/>
        <v>12.083792403595245</v>
      </c>
      <c r="N31" s="159">
        <f t="shared" si="1"/>
        <v>91.96</v>
      </c>
      <c r="O31" s="135">
        <f t="shared" si="2"/>
        <v>2.2989999999999999</v>
      </c>
    </row>
    <row r="32" spans="1:15" s="17" customFormat="1" ht="23.1" customHeight="1">
      <c r="A32" s="8">
        <v>30</v>
      </c>
      <c r="B32" s="124" t="s">
        <v>177</v>
      </c>
      <c r="C32" s="9">
        <v>2818</v>
      </c>
      <c r="D32" s="9">
        <v>2882</v>
      </c>
      <c r="E32" s="9">
        <v>1517</v>
      </c>
      <c r="F32" s="9">
        <v>155</v>
      </c>
      <c r="G32" s="9">
        <v>7517</v>
      </c>
      <c r="H32" s="9">
        <v>12590</v>
      </c>
      <c r="I32" s="9">
        <v>2590</v>
      </c>
      <c r="J32" s="9">
        <v>978</v>
      </c>
      <c r="K32" s="9">
        <v>1104</v>
      </c>
      <c r="L32" s="9">
        <v>3390</v>
      </c>
      <c r="M32" s="158">
        <f t="shared" si="0"/>
        <v>11.612136266855925</v>
      </c>
      <c r="N32" s="159">
        <f t="shared" si="1"/>
        <v>88.37</v>
      </c>
      <c r="O32" s="135">
        <f t="shared" si="2"/>
        <v>2.2092500000000004</v>
      </c>
    </row>
    <row r="33" spans="1:15" s="17" customFormat="1" ht="23.1" customHeight="1">
      <c r="A33" s="8">
        <v>31</v>
      </c>
      <c r="B33" s="124" t="s">
        <v>178</v>
      </c>
      <c r="C33" s="9">
        <v>2302</v>
      </c>
      <c r="D33" s="9">
        <v>2249</v>
      </c>
      <c r="E33" s="9">
        <v>532</v>
      </c>
      <c r="F33" s="9">
        <v>376</v>
      </c>
      <c r="G33" s="9">
        <v>13302</v>
      </c>
      <c r="H33" s="9">
        <v>10141</v>
      </c>
      <c r="I33" s="9">
        <v>2108</v>
      </c>
      <c r="J33" s="9">
        <v>828</v>
      </c>
      <c r="K33" s="9">
        <v>1011</v>
      </c>
      <c r="L33" s="9">
        <v>2733</v>
      </c>
      <c r="M33" s="158">
        <f t="shared" si="0"/>
        <v>14.456993918331886</v>
      </c>
      <c r="N33" s="159">
        <f t="shared" si="1"/>
        <v>100</v>
      </c>
      <c r="O33" s="135">
        <f t="shared" si="2"/>
        <v>2.5</v>
      </c>
    </row>
    <row r="34" spans="1:15" s="17" customFormat="1" ht="23.1" customHeight="1">
      <c r="A34" s="8">
        <v>32</v>
      </c>
      <c r="B34" s="124" t="s">
        <v>179</v>
      </c>
      <c r="C34" s="9">
        <v>1832</v>
      </c>
      <c r="D34" s="9">
        <v>1688</v>
      </c>
      <c r="E34" s="9">
        <v>430</v>
      </c>
      <c r="F34" s="9">
        <v>408</v>
      </c>
      <c r="G34" s="9">
        <v>10838</v>
      </c>
      <c r="H34" s="9">
        <v>7850</v>
      </c>
      <c r="I34" s="9">
        <v>1731</v>
      </c>
      <c r="J34" s="9">
        <v>744</v>
      </c>
      <c r="K34" s="9">
        <v>735</v>
      </c>
      <c r="L34" s="9">
        <v>1562</v>
      </c>
      <c r="M34" s="158">
        <f t="shared" si="0"/>
        <v>14.184497816593886</v>
      </c>
      <c r="N34" s="159">
        <f t="shared" si="1"/>
        <v>100</v>
      </c>
      <c r="O34" s="135">
        <f t="shared" si="2"/>
        <v>2.5</v>
      </c>
    </row>
    <row r="35" spans="1:15" s="17" customFormat="1" ht="23.1" customHeight="1">
      <c r="A35" s="8">
        <v>33</v>
      </c>
      <c r="B35" s="124" t="s">
        <v>180</v>
      </c>
      <c r="C35" s="9">
        <v>45</v>
      </c>
      <c r="D35" s="9">
        <v>45</v>
      </c>
      <c r="E35" s="9">
        <v>0</v>
      </c>
      <c r="F35" s="9">
        <v>0</v>
      </c>
      <c r="G35" s="9">
        <v>193</v>
      </c>
      <c r="H35" s="9">
        <v>141</v>
      </c>
      <c r="I35" s="9">
        <v>42</v>
      </c>
      <c r="J35" s="9">
        <v>0</v>
      </c>
      <c r="K35" s="9">
        <v>17</v>
      </c>
      <c r="L35" s="9">
        <v>45</v>
      </c>
      <c r="M35" s="158">
        <f t="shared" si="0"/>
        <v>10.733333333333333</v>
      </c>
      <c r="N35" s="159">
        <f t="shared" si="1"/>
        <v>81.69</v>
      </c>
      <c r="O35" s="135">
        <f t="shared" si="2"/>
        <v>2.0422500000000001</v>
      </c>
    </row>
    <row r="36" spans="1:15" s="17" customFormat="1" ht="23.1" customHeight="1">
      <c r="A36" s="206" t="s">
        <v>8</v>
      </c>
      <c r="B36" s="206"/>
      <c r="C36" s="9">
        <f>SUM(C3:C35)</f>
        <v>85748</v>
      </c>
      <c r="D36" s="4">
        <f>SUM(D3:D35)</f>
        <v>75562</v>
      </c>
      <c r="E36" s="4">
        <f t="shared" ref="E36:L36" si="3">SUM(E3:E35)</f>
        <v>34687</v>
      </c>
      <c r="F36" s="4">
        <f t="shared" si="3"/>
        <v>8857</v>
      </c>
      <c r="G36" s="4">
        <f t="shared" si="3"/>
        <v>367566</v>
      </c>
      <c r="H36" s="4">
        <f t="shared" si="3"/>
        <v>365095</v>
      </c>
      <c r="I36" s="4">
        <f t="shared" si="3"/>
        <v>77391</v>
      </c>
      <c r="J36" s="4">
        <f t="shared" si="3"/>
        <v>33164</v>
      </c>
      <c r="K36" s="4">
        <f t="shared" si="3"/>
        <v>38695</v>
      </c>
      <c r="L36" s="4">
        <f t="shared" si="3"/>
        <v>97443</v>
      </c>
      <c r="M36" s="157">
        <f>AVERAGE(M3:M35)</f>
        <v>13.139786326934038</v>
      </c>
      <c r="N36" s="157">
        <f t="shared" ref="N36:O36" si="4">AVERAGE(N3:N35)</f>
        <v>94.550303030303027</v>
      </c>
      <c r="O36" s="157">
        <f t="shared" si="4"/>
        <v>2.3637575757575759</v>
      </c>
    </row>
  </sheetData>
  <mergeCells count="2">
    <mergeCell ref="A1:O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0D9F-7781-45B8-9E23-27E3CF249CA1}">
  <sheetPr codeName="Sheet43">
    <tabColor theme="9" tint="0.39997558519241921"/>
    <pageSetUpPr fitToPage="1"/>
  </sheetPr>
  <dimension ref="A1:S36"/>
  <sheetViews>
    <sheetView zoomScale="115" zoomScaleNormal="115" workbookViewId="0">
      <pane ySplit="2" topLeftCell="A3" activePane="bottomLeft" state="frozen"/>
      <selection pane="bottomLeft" activeCell="O36" sqref="O36"/>
    </sheetView>
  </sheetViews>
  <sheetFormatPr defaultRowHeight="14.4"/>
  <cols>
    <col min="1" max="1" width="5.5546875" style="20" customWidth="1"/>
    <col min="2" max="2" width="20.5546875" style="41" customWidth="1"/>
    <col min="3" max="7" width="5.88671875" style="42" customWidth="1"/>
    <col min="8" max="8" width="8.5546875" style="42" customWidth="1"/>
    <col min="9" max="10" width="7.88671875" style="42" customWidth="1"/>
    <col min="11" max="11" width="10.33203125" style="42" customWidth="1"/>
    <col min="12" max="12" width="5.88671875" style="42" customWidth="1"/>
    <col min="13" max="13" width="8.88671875" style="43" customWidth="1"/>
    <col min="14" max="14" width="10.5546875" customWidth="1"/>
    <col min="16" max="17" width="8.88671875" style="12"/>
  </cols>
  <sheetData>
    <row r="1" spans="1:15" ht="25.35" customHeight="1">
      <c r="A1" s="205" t="s">
        <v>37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</row>
    <row r="2" spans="1:15" ht="40.35" customHeight="1">
      <c r="A2" s="31" t="s">
        <v>12</v>
      </c>
      <c r="B2" s="37" t="s">
        <v>24</v>
      </c>
      <c r="C2" s="32" t="s">
        <v>25</v>
      </c>
      <c r="D2" s="32" t="s">
        <v>26</v>
      </c>
      <c r="E2" s="32" t="s">
        <v>27</v>
      </c>
      <c r="F2" s="32" t="s">
        <v>28</v>
      </c>
      <c r="G2" s="32" t="s">
        <v>29</v>
      </c>
      <c r="H2" s="32" t="s">
        <v>30</v>
      </c>
      <c r="I2" s="32" t="s">
        <v>31</v>
      </c>
      <c r="J2" s="32" t="s">
        <v>32</v>
      </c>
      <c r="K2" s="32" t="s">
        <v>33</v>
      </c>
      <c r="L2" s="32" t="s">
        <v>34</v>
      </c>
      <c r="M2" s="157" t="s">
        <v>35</v>
      </c>
      <c r="N2" s="134" t="s">
        <v>6</v>
      </c>
      <c r="O2" s="157" t="s">
        <v>36</v>
      </c>
    </row>
    <row r="3" spans="1:15" ht="22.35" customHeight="1">
      <c r="A3" s="8">
        <v>1</v>
      </c>
      <c r="B3" s="124" t="s">
        <v>148</v>
      </c>
      <c r="C3" s="38"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160">
        <f>IFERROR(SUM(D3:L3)/C3,0)</f>
        <v>0</v>
      </c>
      <c r="N3" s="159">
        <f>IF(C3=0,50,ROUND(IF(M3&gt;=$M$36,100,(M3/$M$36)*100),2))</f>
        <v>50</v>
      </c>
      <c r="O3" s="135">
        <f>N3*2.5%</f>
        <v>1.25</v>
      </c>
    </row>
    <row r="4" spans="1:15" ht="22.35" customHeight="1">
      <c r="A4" s="8">
        <v>2</v>
      </c>
      <c r="B4" s="124" t="s">
        <v>149</v>
      </c>
      <c r="C4" s="38">
        <v>3</v>
      </c>
      <c r="D4" s="38">
        <v>1</v>
      </c>
      <c r="E4" s="38">
        <v>0</v>
      </c>
      <c r="F4" s="38">
        <v>1</v>
      </c>
      <c r="G4" s="38">
        <v>1</v>
      </c>
      <c r="H4" s="38">
        <v>25</v>
      </c>
      <c r="I4" s="38">
        <v>0</v>
      </c>
      <c r="J4" s="38">
        <v>0</v>
      </c>
      <c r="K4" s="38">
        <v>0</v>
      </c>
      <c r="L4" s="38">
        <v>1</v>
      </c>
      <c r="M4" s="160">
        <f t="shared" ref="M4:M36" si="0">IFERROR(SUM(D4:L4)/C4,0)</f>
        <v>9.6666666666666661</v>
      </c>
      <c r="N4" s="159">
        <f t="shared" ref="N4:N35" si="1">IF(C4=0,50,ROUND(IF(M4&gt;=$M$36,100,(M4/$M$36)*100),2))</f>
        <v>100</v>
      </c>
      <c r="O4" s="135">
        <f t="shared" ref="O4:O36" si="2">N4*2.5%</f>
        <v>2.5</v>
      </c>
    </row>
    <row r="5" spans="1:15" ht="22.35" customHeight="1">
      <c r="A5" s="8">
        <v>3</v>
      </c>
      <c r="B5" s="124" t="s">
        <v>150</v>
      </c>
      <c r="C5" s="38">
        <v>1</v>
      </c>
      <c r="D5" s="38">
        <v>1</v>
      </c>
      <c r="E5" s="38">
        <v>0</v>
      </c>
      <c r="F5" s="38">
        <v>0</v>
      </c>
      <c r="G5" s="38">
        <v>1</v>
      </c>
      <c r="H5" s="38">
        <v>5</v>
      </c>
      <c r="I5" s="38">
        <v>0</v>
      </c>
      <c r="J5" s="38">
        <v>0</v>
      </c>
      <c r="K5" s="38">
        <v>0</v>
      </c>
      <c r="L5" s="38">
        <v>0</v>
      </c>
      <c r="M5" s="160">
        <f t="shared" si="0"/>
        <v>7</v>
      </c>
      <c r="N5" s="159">
        <f t="shared" si="1"/>
        <v>100</v>
      </c>
      <c r="O5" s="135">
        <f t="shared" si="2"/>
        <v>2.5</v>
      </c>
    </row>
    <row r="6" spans="1:15" ht="22.35" customHeight="1">
      <c r="A6" s="8">
        <v>4</v>
      </c>
      <c r="B6" s="124" t="s">
        <v>151</v>
      </c>
      <c r="C6" s="38">
        <v>4</v>
      </c>
      <c r="D6" s="38">
        <v>3</v>
      </c>
      <c r="E6" s="38">
        <v>0</v>
      </c>
      <c r="F6" s="38">
        <v>0</v>
      </c>
      <c r="G6" s="38">
        <v>6</v>
      </c>
      <c r="H6" s="38">
        <v>9</v>
      </c>
      <c r="I6" s="38">
        <v>3</v>
      </c>
      <c r="J6" s="38">
        <v>0</v>
      </c>
      <c r="K6" s="38">
        <v>1</v>
      </c>
      <c r="L6" s="38">
        <v>4</v>
      </c>
      <c r="M6" s="160">
        <f t="shared" si="0"/>
        <v>6.5</v>
      </c>
      <c r="N6" s="159">
        <f t="shared" si="1"/>
        <v>96.7</v>
      </c>
      <c r="O6" s="135">
        <f t="shared" si="2"/>
        <v>2.4175000000000004</v>
      </c>
    </row>
    <row r="7" spans="1:15" ht="22.35" customHeight="1">
      <c r="A7" s="8">
        <v>5</v>
      </c>
      <c r="B7" s="124" t="s">
        <v>152</v>
      </c>
      <c r="C7" s="38">
        <v>9</v>
      </c>
      <c r="D7" s="38">
        <v>9</v>
      </c>
      <c r="E7" s="38">
        <v>0</v>
      </c>
      <c r="F7" s="38">
        <v>1</v>
      </c>
      <c r="G7" s="38">
        <v>39</v>
      </c>
      <c r="H7" s="38">
        <v>39</v>
      </c>
      <c r="I7" s="38">
        <v>0</v>
      </c>
      <c r="J7" s="38">
        <v>0</v>
      </c>
      <c r="K7" s="38">
        <v>0</v>
      </c>
      <c r="L7" s="38">
        <v>0</v>
      </c>
      <c r="M7" s="160">
        <f t="shared" si="0"/>
        <v>9.7777777777777786</v>
      </c>
      <c r="N7" s="159">
        <f t="shared" si="1"/>
        <v>100</v>
      </c>
      <c r="O7" s="135">
        <f t="shared" si="2"/>
        <v>2.5</v>
      </c>
    </row>
    <row r="8" spans="1:15" ht="22.35" customHeight="1">
      <c r="A8" s="8">
        <v>6</v>
      </c>
      <c r="B8" s="124" t="s">
        <v>153</v>
      </c>
      <c r="C8" s="38">
        <v>2</v>
      </c>
      <c r="D8" s="38">
        <v>1</v>
      </c>
      <c r="E8" s="38">
        <v>0</v>
      </c>
      <c r="F8" s="38">
        <v>1</v>
      </c>
      <c r="G8" s="38">
        <v>1</v>
      </c>
      <c r="H8" s="38">
        <v>6</v>
      </c>
      <c r="I8" s="38">
        <v>0</v>
      </c>
      <c r="J8" s="38">
        <v>0</v>
      </c>
      <c r="K8" s="38">
        <v>0</v>
      </c>
      <c r="L8" s="38">
        <v>5</v>
      </c>
      <c r="M8" s="160">
        <f t="shared" si="0"/>
        <v>7</v>
      </c>
      <c r="N8" s="159">
        <f t="shared" si="1"/>
        <v>100</v>
      </c>
      <c r="O8" s="135">
        <f t="shared" si="2"/>
        <v>2.5</v>
      </c>
    </row>
    <row r="9" spans="1:15" ht="22.35" customHeight="1">
      <c r="A9" s="8">
        <v>7</v>
      </c>
      <c r="B9" s="124" t="s">
        <v>154</v>
      </c>
      <c r="C9" s="38">
        <v>2</v>
      </c>
      <c r="D9" s="38">
        <v>2</v>
      </c>
      <c r="E9" s="38">
        <v>0</v>
      </c>
      <c r="F9" s="38">
        <v>0</v>
      </c>
      <c r="G9" s="38">
        <v>5</v>
      </c>
      <c r="H9" s="38">
        <v>9</v>
      </c>
      <c r="I9" s="38">
        <v>0</v>
      </c>
      <c r="J9" s="38">
        <v>0</v>
      </c>
      <c r="K9" s="38">
        <v>0</v>
      </c>
      <c r="L9" s="38">
        <v>1</v>
      </c>
      <c r="M9" s="160">
        <f t="shared" si="0"/>
        <v>8.5</v>
      </c>
      <c r="N9" s="159">
        <f t="shared" si="1"/>
        <v>100</v>
      </c>
      <c r="O9" s="135">
        <f t="shared" si="2"/>
        <v>2.5</v>
      </c>
    </row>
    <row r="10" spans="1:15" ht="22.35" customHeight="1">
      <c r="A10" s="8">
        <v>8</v>
      </c>
      <c r="B10" s="124" t="s">
        <v>155</v>
      </c>
      <c r="C10" s="38">
        <v>2</v>
      </c>
      <c r="D10" s="38">
        <v>2</v>
      </c>
      <c r="E10" s="38">
        <v>0</v>
      </c>
      <c r="F10" s="38">
        <v>0</v>
      </c>
      <c r="G10" s="38">
        <v>4</v>
      </c>
      <c r="H10" s="38">
        <v>3</v>
      </c>
      <c r="I10" s="38">
        <v>0</v>
      </c>
      <c r="J10" s="38">
        <v>0</v>
      </c>
      <c r="K10" s="38">
        <v>0</v>
      </c>
      <c r="L10" s="38">
        <v>1</v>
      </c>
      <c r="M10" s="160">
        <f t="shared" si="0"/>
        <v>5</v>
      </c>
      <c r="N10" s="159">
        <f t="shared" si="1"/>
        <v>74.39</v>
      </c>
      <c r="O10" s="135">
        <f t="shared" si="2"/>
        <v>1.85975</v>
      </c>
    </row>
    <row r="11" spans="1:15" ht="22.35" customHeight="1">
      <c r="A11" s="8">
        <v>9</v>
      </c>
      <c r="B11" s="124" t="s">
        <v>156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160">
        <f t="shared" si="0"/>
        <v>0</v>
      </c>
      <c r="N11" s="159">
        <f t="shared" si="1"/>
        <v>50</v>
      </c>
      <c r="O11" s="135">
        <f t="shared" si="2"/>
        <v>1.25</v>
      </c>
    </row>
    <row r="12" spans="1:15" ht="22.35" customHeight="1">
      <c r="A12" s="8">
        <v>10</v>
      </c>
      <c r="B12" s="124" t="s">
        <v>157</v>
      </c>
      <c r="C12" s="38">
        <v>2</v>
      </c>
      <c r="D12" s="38">
        <v>2</v>
      </c>
      <c r="E12" s="38">
        <v>0</v>
      </c>
      <c r="F12" s="38">
        <v>0</v>
      </c>
      <c r="G12" s="38">
        <v>1</v>
      </c>
      <c r="H12" s="38">
        <v>8</v>
      </c>
      <c r="I12" s="38">
        <v>0</v>
      </c>
      <c r="J12" s="38">
        <v>0</v>
      </c>
      <c r="K12" s="38">
        <v>0</v>
      </c>
      <c r="L12" s="38">
        <v>0</v>
      </c>
      <c r="M12" s="160">
        <f t="shared" si="0"/>
        <v>5.5</v>
      </c>
      <c r="N12" s="159">
        <f t="shared" si="1"/>
        <v>81.83</v>
      </c>
      <c r="O12" s="135">
        <f t="shared" si="2"/>
        <v>2.04575</v>
      </c>
    </row>
    <row r="13" spans="1:15" ht="22.35" customHeight="1">
      <c r="A13" s="8">
        <v>11</v>
      </c>
      <c r="B13" s="124" t="s">
        <v>158</v>
      </c>
      <c r="C13" s="38">
        <v>1</v>
      </c>
      <c r="D13" s="38">
        <v>1</v>
      </c>
      <c r="E13" s="38">
        <v>0</v>
      </c>
      <c r="F13" s="38">
        <v>0</v>
      </c>
      <c r="G13" s="38">
        <v>1</v>
      </c>
      <c r="H13" s="38">
        <v>5</v>
      </c>
      <c r="I13" s="38">
        <v>0</v>
      </c>
      <c r="J13" s="38">
        <v>0</v>
      </c>
      <c r="K13" s="38">
        <v>0</v>
      </c>
      <c r="L13" s="38">
        <v>5</v>
      </c>
      <c r="M13" s="160">
        <f t="shared" si="0"/>
        <v>12</v>
      </c>
      <c r="N13" s="159">
        <f t="shared" si="1"/>
        <v>100</v>
      </c>
      <c r="O13" s="135">
        <f t="shared" si="2"/>
        <v>2.5</v>
      </c>
    </row>
    <row r="14" spans="1:15" ht="22.35" customHeight="1">
      <c r="A14" s="8">
        <v>12</v>
      </c>
      <c r="B14" s="124" t="s">
        <v>159</v>
      </c>
      <c r="C14" s="38">
        <v>3</v>
      </c>
      <c r="D14" s="38">
        <v>2</v>
      </c>
      <c r="E14" s="38">
        <v>0</v>
      </c>
      <c r="F14" s="38">
        <v>0</v>
      </c>
      <c r="G14" s="38">
        <v>0</v>
      </c>
      <c r="H14" s="38">
        <v>9</v>
      </c>
      <c r="I14" s="38">
        <v>0</v>
      </c>
      <c r="J14" s="38">
        <v>0</v>
      </c>
      <c r="K14" s="38">
        <v>0</v>
      </c>
      <c r="L14" s="38">
        <v>0</v>
      </c>
      <c r="M14" s="160">
        <f t="shared" si="0"/>
        <v>3.6666666666666665</v>
      </c>
      <c r="N14" s="159">
        <f t="shared" si="1"/>
        <v>54.55</v>
      </c>
      <c r="O14" s="135">
        <f t="shared" si="2"/>
        <v>1.36375</v>
      </c>
    </row>
    <row r="15" spans="1:15" ht="22.35" customHeight="1">
      <c r="A15" s="8">
        <v>13</v>
      </c>
      <c r="B15" s="124" t="s">
        <v>160</v>
      </c>
      <c r="C15" s="38">
        <v>4</v>
      </c>
      <c r="D15" s="38">
        <v>4</v>
      </c>
      <c r="E15" s="38">
        <v>0</v>
      </c>
      <c r="F15" s="38">
        <v>0</v>
      </c>
      <c r="G15" s="38">
        <v>26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160">
        <f t="shared" si="0"/>
        <v>7.5</v>
      </c>
      <c r="N15" s="159">
        <f t="shared" si="1"/>
        <v>100</v>
      </c>
      <c r="O15" s="135">
        <f t="shared" si="2"/>
        <v>2.5</v>
      </c>
    </row>
    <row r="16" spans="1:15" ht="22.35" customHeight="1">
      <c r="A16" s="8">
        <v>14</v>
      </c>
      <c r="B16" s="124" t="s">
        <v>161</v>
      </c>
      <c r="C16" s="38">
        <v>1</v>
      </c>
      <c r="D16" s="38">
        <v>1</v>
      </c>
      <c r="E16" s="38">
        <v>1</v>
      </c>
      <c r="F16" s="38">
        <v>1</v>
      </c>
      <c r="G16" s="38">
        <v>2</v>
      </c>
      <c r="H16" s="38">
        <v>3</v>
      </c>
      <c r="I16" s="38">
        <v>0</v>
      </c>
      <c r="J16" s="38">
        <v>0</v>
      </c>
      <c r="K16" s="38">
        <v>0</v>
      </c>
      <c r="L16" s="38">
        <v>0</v>
      </c>
      <c r="M16" s="160">
        <f t="shared" si="0"/>
        <v>8</v>
      </c>
      <c r="N16" s="159">
        <f t="shared" si="1"/>
        <v>100</v>
      </c>
      <c r="O16" s="135">
        <f t="shared" si="2"/>
        <v>2.5</v>
      </c>
    </row>
    <row r="17" spans="1:18" ht="22.35" customHeight="1">
      <c r="A17" s="8">
        <v>15</v>
      </c>
      <c r="B17" s="124" t="s">
        <v>162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160">
        <f t="shared" si="0"/>
        <v>0</v>
      </c>
      <c r="N17" s="159">
        <f t="shared" si="1"/>
        <v>50</v>
      </c>
      <c r="O17" s="135">
        <f t="shared" si="2"/>
        <v>1.25</v>
      </c>
    </row>
    <row r="18" spans="1:18" ht="22.35" customHeight="1">
      <c r="A18" s="8">
        <v>16</v>
      </c>
      <c r="B18" s="124" t="s">
        <v>163</v>
      </c>
      <c r="C18" s="38">
        <v>2</v>
      </c>
      <c r="D18" s="38">
        <v>2</v>
      </c>
      <c r="E18" s="38">
        <v>0</v>
      </c>
      <c r="F18" s="38">
        <v>0</v>
      </c>
      <c r="G18" s="38">
        <v>7</v>
      </c>
      <c r="H18" s="38">
        <v>12</v>
      </c>
      <c r="I18" s="38">
        <v>0</v>
      </c>
      <c r="J18" s="38">
        <v>0</v>
      </c>
      <c r="K18" s="38">
        <v>0</v>
      </c>
      <c r="L18" s="38">
        <v>0</v>
      </c>
      <c r="M18" s="160">
        <f t="shared" si="0"/>
        <v>10.5</v>
      </c>
      <c r="N18" s="159">
        <f t="shared" si="1"/>
        <v>100</v>
      </c>
      <c r="O18" s="135">
        <f t="shared" si="2"/>
        <v>2.5</v>
      </c>
    </row>
    <row r="19" spans="1:18" ht="22.35" customHeight="1">
      <c r="A19" s="8">
        <v>17</v>
      </c>
      <c r="B19" s="124" t="s">
        <v>164</v>
      </c>
      <c r="C19" s="38">
        <v>2</v>
      </c>
      <c r="D19" s="38">
        <v>0</v>
      </c>
      <c r="E19" s="38">
        <v>0</v>
      </c>
      <c r="F19" s="38">
        <v>0</v>
      </c>
      <c r="G19" s="38">
        <v>10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160">
        <f t="shared" si="0"/>
        <v>5</v>
      </c>
      <c r="N19" s="159">
        <f t="shared" si="1"/>
        <v>74.39</v>
      </c>
      <c r="O19" s="135">
        <f t="shared" si="2"/>
        <v>1.85975</v>
      </c>
    </row>
    <row r="20" spans="1:18" ht="22.35" customHeight="1">
      <c r="A20" s="8">
        <v>18</v>
      </c>
      <c r="B20" s="124" t="s">
        <v>165</v>
      </c>
      <c r="C20" s="38">
        <v>2</v>
      </c>
      <c r="D20" s="38">
        <v>1</v>
      </c>
      <c r="E20" s="38">
        <v>0</v>
      </c>
      <c r="F20" s="38">
        <v>1</v>
      </c>
      <c r="G20" s="38">
        <v>2</v>
      </c>
      <c r="H20" s="38">
        <v>4</v>
      </c>
      <c r="I20" s="38">
        <v>0</v>
      </c>
      <c r="J20" s="38">
        <v>0</v>
      </c>
      <c r="K20" s="38">
        <v>0</v>
      </c>
      <c r="L20" s="38">
        <v>2</v>
      </c>
      <c r="M20" s="160">
        <f t="shared" si="0"/>
        <v>5</v>
      </c>
      <c r="N20" s="159">
        <f t="shared" si="1"/>
        <v>74.39</v>
      </c>
      <c r="O20" s="135">
        <f t="shared" si="2"/>
        <v>1.85975</v>
      </c>
    </row>
    <row r="21" spans="1:18" ht="22.35" customHeight="1">
      <c r="A21" s="8">
        <v>19</v>
      </c>
      <c r="B21" s="124" t="s">
        <v>166</v>
      </c>
      <c r="C21" s="38">
        <v>7</v>
      </c>
      <c r="D21" s="38">
        <v>7</v>
      </c>
      <c r="E21" s="38">
        <v>0</v>
      </c>
      <c r="F21" s="38">
        <v>0</v>
      </c>
      <c r="G21" s="38">
        <v>35</v>
      </c>
      <c r="H21" s="38">
        <v>0</v>
      </c>
      <c r="I21" s="38">
        <v>0</v>
      </c>
      <c r="J21" s="38">
        <v>0</v>
      </c>
      <c r="K21" s="38">
        <v>0</v>
      </c>
      <c r="L21" s="38">
        <v>1</v>
      </c>
      <c r="M21" s="160">
        <f t="shared" si="0"/>
        <v>6.1428571428571432</v>
      </c>
      <c r="N21" s="159">
        <f t="shared" si="1"/>
        <v>91.39</v>
      </c>
      <c r="O21" s="135">
        <f t="shared" si="2"/>
        <v>2.2847500000000003</v>
      </c>
    </row>
    <row r="22" spans="1:18" ht="22.35" customHeight="1">
      <c r="A22" s="8">
        <v>20</v>
      </c>
      <c r="B22" s="124" t="s">
        <v>167</v>
      </c>
      <c r="C22" s="38">
        <v>3</v>
      </c>
      <c r="D22" s="38">
        <v>3</v>
      </c>
      <c r="E22" s="38">
        <v>0</v>
      </c>
      <c r="F22" s="38">
        <v>0</v>
      </c>
      <c r="G22" s="38">
        <v>3</v>
      </c>
      <c r="H22" s="38">
        <v>9</v>
      </c>
      <c r="I22" s="38">
        <v>0</v>
      </c>
      <c r="J22" s="38">
        <v>0</v>
      </c>
      <c r="K22" s="38">
        <v>0</v>
      </c>
      <c r="L22" s="38">
        <v>0</v>
      </c>
      <c r="M22" s="160">
        <f t="shared" si="0"/>
        <v>5</v>
      </c>
      <c r="N22" s="159">
        <f t="shared" si="1"/>
        <v>74.39</v>
      </c>
      <c r="O22" s="135">
        <f t="shared" si="2"/>
        <v>1.85975</v>
      </c>
    </row>
    <row r="23" spans="1:18" ht="22.35" customHeight="1">
      <c r="A23" s="8">
        <v>21</v>
      </c>
      <c r="B23" s="124" t="s">
        <v>168</v>
      </c>
      <c r="C23" s="38">
        <v>4</v>
      </c>
      <c r="D23" s="38">
        <v>6</v>
      </c>
      <c r="E23" s="38">
        <v>2</v>
      </c>
      <c r="F23" s="38">
        <v>0</v>
      </c>
      <c r="G23" s="38">
        <v>2</v>
      </c>
      <c r="H23" s="38">
        <v>10</v>
      </c>
      <c r="I23" s="38">
        <v>0</v>
      </c>
      <c r="J23" s="38">
        <v>0</v>
      </c>
      <c r="K23" s="38">
        <v>0</v>
      </c>
      <c r="L23" s="38">
        <v>0</v>
      </c>
      <c r="M23" s="160">
        <f t="shared" si="0"/>
        <v>5</v>
      </c>
      <c r="N23" s="159">
        <f t="shared" si="1"/>
        <v>74.39</v>
      </c>
      <c r="O23" s="135">
        <f t="shared" si="2"/>
        <v>1.85975</v>
      </c>
    </row>
    <row r="24" spans="1:18" ht="22.35" customHeight="1">
      <c r="A24" s="8">
        <v>22</v>
      </c>
      <c r="B24" s="124" t="s">
        <v>169</v>
      </c>
      <c r="C24" s="38">
        <v>1</v>
      </c>
      <c r="D24" s="38">
        <v>1</v>
      </c>
      <c r="E24" s="38">
        <v>0</v>
      </c>
      <c r="F24" s="38">
        <v>0</v>
      </c>
      <c r="G24" s="38">
        <v>1</v>
      </c>
      <c r="H24" s="38">
        <v>3</v>
      </c>
      <c r="I24" s="38">
        <v>0</v>
      </c>
      <c r="J24" s="38">
        <v>0</v>
      </c>
      <c r="K24" s="38">
        <v>0</v>
      </c>
      <c r="L24" s="38">
        <v>5</v>
      </c>
      <c r="M24" s="160">
        <f t="shared" si="0"/>
        <v>10</v>
      </c>
      <c r="N24" s="159">
        <f t="shared" si="1"/>
        <v>100</v>
      </c>
      <c r="O24" s="135">
        <f t="shared" si="2"/>
        <v>2.5</v>
      </c>
    </row>
    <row r="25" spans="1:18" ht="22.35" customHeight="1">
      <c r="A25" s="8">
        <v>23</v>
      </c>
      <c r="B25" s="124" t="s">
        <v>170</v>
      </c>
      <c r="C25" s="38">
        <v>4</v>
      </c>
      <c r="D25" s="38">
        <v>1</v>
      </c>
      <c r="E25" s="38">
        <v>0</v>
      </c>
      <c r="F25" s="38">
        <v>1</v>
      </c>
      <c r="G25" s="38">
        <v>21</v>
      </c>
      <c r="H25" s="38">
        <v>4</v>
      </c>
      <c r="I25" s="38">
        <v>0</v>
      </c>
      <c r="J25" s="38">
        <v>0</v>
      </c>
      <c r="K25" s="38">
        <v>0</v>
      </c>
      <c r="L25" s="38">
        <v>0</v>
      </c>
      <c r="M25" s="160">
        <f t="shared" si="0"/>
        <v>6.75</v>
      </c>
      <c r="N25" s="159">
        <f t="shared" si="1"/>
        <v>100</v>
      </c>
      <c r="O25" s="135">
        <f t="shared" si="2"/>
        <v>2.5</v>
      </c>
    </row>
    <row r="26" spans="1:18" ht="22.35" customHeight="1">
      <c r="A26" s="8">
        <v>24</v>
      </c>
      <c r="B26" s="124" t="s">
        <v>171</v>
      </c>
      <c r="C26" s="38">
        <v>4</v>
      </c>
      <c r="D26" s="38">
        <v>4</v>
      </c>
      <c r="E26" s="38">
        <v>0</v>
      </c>
      <c r="F26" s="38">
        <v>0</v>
      </c>
      <c r="G26" s="38">
        <v>16</v>
      </c>
      <c r="H26" s="38">
        <v>4</v>
      </c>
      <c r="I26" s="38">
        <v>0</v>
      </c>
      <c r="J26" s="38">
        <v>0</v>
      </c>
      <c r="K26" s="38">
        <v>0</v>
      </c>
      <c r="L26" s="38">
        <v>0</v>
      </c>
      <c r="M26" s="160">
        <f t="shared" si="0"/>
        <v>6</v>
      </c>
      <c r="N26" s="159">
        <f t="shared" si="1"/>
        <v>89.27</v>
      </c>
      <c r="O26" s="135">
        <f t="shared" si="2"/>
        <v>2.2317499999999999</v>
      </c>
    </row>
    <row r="27" spans="1:18" ht="22.35" customHeight="1">
      <c r="A27" s="8">
        <v>25</v>
      </c>
      <c r="B27" s="124" t="s">
        <v>172</v>
      </c>
      <c r="C27" s="38">
        <v>2</v>
      </c>
      <c r="D27" s="38">
        <v>1</v>
      </c>
      <c r="E27" s="38">
        <v>0</v>
      </c>
      <c r="F27" s="38">
        <v>1</v>
      </c>
      <c r="G27" s="38">
        <v>2</v>
      </c>
      <c r="H27" s="38">
        <v>3</v>
      </c>
      <c r="I27" s="38">
        <v>0</v>
      </c>
      <c r="J27" s="38">
        <v>0</v>
      </c>
      <c r="K27" s="38">
        <v>0</v>
      </c>
      <c r="L27" s="38">
        <v>1</v>
      </c>
      <c r="M27" s="160">
        <f t="shared" si="0"/>
        <v>4</v>
      </c>
      <c r="N27" s="159">
        <f t="shared" si="1"/>
        <v>59.51</v>
      </c>
      <c r="O27" s="135">
        <f t="shared" si="2"/>
        <v>1.4877500000000001</v>
      </c>
    </row>
    <row r="28" spans="1:18" ht="22.35" customHeight="1">
      <c r="A28" s="39">
        <v>26</v>
      </c>
      <c r="B28" s="124" t="s">
        <v>173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160">
        <f t="shared" si="0"/>
        <v>0</v>
      </c>
      <c r="N28" s="159">
        <f t="shared" si="1"/>
        <v>50</v>
      </c>
      <c r="O28" s="135">
        <f t="shared" si="2"/>
        <v>1.25</v>
      </c>
      <c r="P28" s="40"/>
    </row>
    <row r="29" spans="1:18" ht="22.35" customHeight="1">
      <c r="A29" s="39">
        <v>27</v>
      </c>
      <c r="B29" s="124" t="s">
        <v>174</v>
      </c>
      <c r="C29" s="38">
        <v>2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160">
        <f t="shared" si="0"/>
        <v>0</v>
      </c>
      <c r="N29" s="159">
        <f t="shared" si="1"/>
        <v>0</v>
      </c>
      <c r="O29" s="135">
        <f t="shared" si="2"/>
        <v>0</v>
      </c>
      <c r="P29" s="40"/>
    </row>
    <row r="30" spans="1:18" ht="22.35" customHeight="1">
      <c r="A30" s="39">
        <v>28</v>
      </c>
      <c r="B30" s="124" t="s">
        <v>175</v>
      </c>
      <c r="C30" s="38">
        <v>1</v>
      </c>
      <c r="D30" s="38">
        <v>1</v>
      </c>
      <c r="E30" s="38">
        <v>0</v>
      </c>
      <c r="F30" s="38">
        <v>0</v>
      </c>
      <c r="G30" s="38">
        <v>1</v>
      </c>
      <c r="H30" s="38">
        <v>0</v>
      </c>
      <c r="I30" s="38">
        <v>0</v>
      </c>
      <c r="J30" s="38">
        <v>0</v>
      </c>
      <c r="K30" s="38">
        <v>0</v>
      </c>
      <c r="L30" s="38">
        <v>1</v>
      </c>
      <c r="M30" s="160">
        <f t="shared" si="0"/>
        <v>3</v>
      </c>
      <c r="N30" s="159">
        <f t="shared" si="1"/>
        <v>44.63</v>
      </c>
      <c r="O30" s="135">
        <f t="shared" si="2"/>
        <v>1.11575</v>
      </c>
      <c r="P30" s="40"/>
    </row>
    <row r="31" spans="1:18" ht="22.35" customHeight="1">
      <c r="A31" s="39">
        <v>29</v>
      </c>
      <c r="B31" s="124" t="s">
        <v>176</v>
      </c>
      <c r="C31" s="38">
        <v>4</v>
      </c>
      <c r="D31" s="38">
        <v>4</v>
      </c>
      <c r="E31" s="38">
        <v>0</v>
      </c>
      <c r="F31" s="38">
        <v>0</v>
      </c>
      <c r="G31" s="38">
        <v>11</v>
      </c>
      <c r="H31" s="38">
        <v>15</v>
      </c>
      <c r="I31" s="38">
        <v>0</v>
      </c>
      <c r="J31" s="38">
        <v>0</v>
      </c>
      <c r="K31" s="38">
        <v>0</v>
      </c>
      <c r="L31" s="38">
        <v>0</v>
      </c>
      <c r="M31" s="160">
        <f t="shared" si="0"/>
        <v>7.5</v>
      </c>
      <c r="N31" s="159">
        <f t="shared" si="1"/>
        <v>100</v>
      </c>
      <c r="O31" s="135">
        <f t="shared" si="2"/>
        <v>2.5</v>
      </c>
      <c r="P31" s="40"/>
      <c r="R31" s="12"/>
    </row>
    <row r="32" spans="1:18" ht="22.35" customHeight="1">
      <c r="A32" s="39">
        <v>30</v>
      </c>
      <c r="B32" s="124" t="s">
        <v>177</v>
      </c>
      <c r="C32" s="38">
        <v>2</v>
      </c>
      <c r="D32" s="38">
        <v>2</v>
      </c>
      <c r="E32" s="38">
        <v>0</v>
      </c>
      <c r="F32" s="38">
        <v>0</v>
      </c>
      <c r="G32" s="38">
        <v>0</v>
      </c>
      <c r="H32" s="38">
        <v>9</v>
      </c>
      <c r="I32" s="38">
        <v>0</v>
      </c>
      <c r="J32" s="38">
        <v>0</v>
      </c>
      <c r="K32" s="38">
        <v>0</v>
      </c>
      <c r="L32" s="38">
        <v>1</v>
      </c>
      <c r="M32" s="160">
        <f t="shared" si="0"/>
        <v>6</v>
      </c>
      <c r="N32" s="159">
        <f t="shared" si="1"/>
        <v>89.27</v>
      </c>
      <c r="O32" s="135">
        <f t="shared" si="2"/>
        <v>2.2317499999999999</v>
      </c>
      <c r="P32" s="40"/>
      <c r="R32" s="12"/>
    </row>
    <row r="33" spans="1:19" ht="22.35" customHeight="1">
      <c r="A33" s="39">
        <v>31</v>
      </c>
      <c r="B33" s="124" t="s">
        <v>178</v>
      </c>
      <c r="C33" s="38">
        <v>1</v>
      </c>
      <c r="D33" s="38">
        <v>1</v>
      </c>
      <c r="E33" s="38">
        <v>0</v>
      </c>
      <c r="F33" s="38">
        <v>0</v>
      </c>
      <c r="G33" s="38">
        <v>3</v>
      </c>
      <c r="H33" s="38">
        <v>3</v>
      </c>
      <c r="I33" s="38">
        <v>0</v>
      </c>
      <c r="J33" s="38">
        <v>0</v>
      </c>
      <c r="K33" s="38">
        <v>1</v>
      </c>
      <c r="L33" s="38">
        <v>1</v>
      </c>
      <c r="M33" s="160">
        <f t="shared" si="0"/>
        <v>9</v>
      </c>
      <c r="N33" s="159">
        <f t="shared" si="1"/>
        <v>100</v>
      </c>
      <c r="O33" s="135">
        <f t="shared" si="2"/>
        <v>2.5</v>
      </c>
      <c r="P33" s="40"/>
      <c r="R33" s="12"/>
    </row>
    <row r="34" spans="1:19" ht="22.35" customHeight="1">
      <c r="A34" s="39">
        <v>32</v>
      </c>
      <c r="B34" s="124" t="s">
        <v>179</v>
      </c>
      <c r="C34" s="38">
        <v>2</v>
      </c>
      <c r="D34" s="38">
        <v>2</v>
      </c>
      <c r="E34" s="38">
        <v>0</v>
      </c>
      <c r="F34" s="38">
        <v>0</v>
      </c>
      <c r="G34" s="38">
        <v>2</v>
      </c>
      <c r="H34" s="38">
        <v>6</v>
      </c>
      <c r="I34" s="38">
        <v>0</v>
      </c>
      <c r="J34" s="38">
        <v>0</v>
      </c>
      <c r="K34" s="38">
        <v>0</v>
      </c>
      <c r="L34" s="38">
        <v>0</v>
      </c>
      <c r="M34" s="160">
        <f t="shared" si="0"/>
        <v>5</v>
      </c>
      <c r="N34" s="159">
        <f t="shared" si="1"/>
        <v>74.39</v>
      </c>
      <c r="O34" s="135">
        <f t="shared" si="2"/>
        <v>1.85975</v>
      </c>
      <c r="P34" s="40"/>
      <c r="R34" s="12"/>
      <c r="S34" s="33"/>
    </row>
    <row r="35" spans="1:19" ht="22.35" customHeight="1">
      <c r="A35" s="39">
        <v>33</v>
      </c>
      <c r="B35" s="124" t="s">
        <v>180</v>
      </c>
      <c r="C35" s="38">
        <v>2</v>
      </c>
      <c r="D35" s="38">
        <v>2</v>
      </c>
      <c r="E35" s="38">
        <v>0</v>
      </c>
      <c r="F35" s="38">
        <v>0</v>
      </c>
      <c r="G35" s="38">
        <v>6</v>
      </c>
      <c r="H35" s="38">
        <v>6</v>
      </c>
      <c r="I35" s="38">
        <v>0</v>
      </c>
      <c r="J35" s="38">
        <v>0</v>
      </c>
      <c r="K35" s="38">
        <v>0</v>
      </c>
      <c r="L35" s="38">
        <v>2</v>
      </c>
      <c r="M35" s="160">
        <f t="shared" si="0"/>
        <v>8</v>
      </c>
      <c r="N35" s="159">
        <f t="shared" si="1"/>
        <v>100</v>
      </c>
      <c r="O35" s="135">
        <f t="shared" si="2"/>
        <v>2.5</v>
      </c>
      <c r="P35" s="40"/>
      <c r="R35" s="12"/>
      <c r="S35" s="33"/>
    </row>
    <row r="36" spans="1:19" ht="27" customHeight="1">
      <c r="A36" s="207" t="s">
        <v>8</v>
      </c>
      <c r="B36" s="208"/>
      <c r="C36" s="138">
        <v>79</v>
      </c>
      <c r="D36" s="138">
        <v>67</v>
      </c>
      <c r="E36" s="138">
        <v>3</v>
      </c>
      <c r="F36" s="138">
        <v>7</v>
      </c>
      <c r="G36" s="138">
        <v>209</v>
      </c>
      <c r="H36" s="138">
        <v>209</v>
      </c>
      <c r="I36" s="138">
        <v>3</v>
      </c>
      <c r="J36" s="138">
        <v>0</v>
      </c>
      <c r="K36" s="138">
        <v>2</v>
      </c>
      <c r="L36" s="138">
        <v>31</v>
      </c>
      <c r="M36" s="161">
        <f t="shared" si="0"/>
        <v>6.7215189873417724</v>
      </c>
      <c r="N36" s="159">
        <f>AVERAGE(N3:N35)</f>
        <v>80.408787878787905</v>
      </c>
      <c r="O36" s="135">
        <f t="shared" si="2"/>
        <v>2.0102196969696977</v>
      </c>
    </row>
  </sheetData>
  <mergeCells count="2">
    <mergeCell ref="A1:O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63DE-9FCE-4DE2-8EBC-E1B794BEE497}">
  <sheetPr codeName="Sheet53">
    <tabColor theme="9" tint="0.39997558519241921"/>
    <pageSetUpPr fitToPage="1"/>
  </sheetPr>
  <dimension ref="A1:M36"/>
  <sheetViews>
    <sheetView zoomScale="115" zoomScaleNormal="115" workbookViewId="0">
      <pane ySplit="2" topLeftCell="A17" activePane="bottomLeft" state="frozen"/>
      <selection pane="bottomLeft" activeCell="L2" sqref="L2:M35"/>
    </sheetView>
  </sheetViews>
  <sheetFormatPr defaultRowHeight="14.4"/>
  <cols>
    <col min="1" max="1" width="5.5546875" style="20" customWidth="1"/>
    <col min="2" max="2" width="20.5546875" style="41" customWidth="1"/>
    <col min="3" max="3" width="8.5546875" style="42" customWidth="1"/>
    <col min="4" max="4" width="9.44140625" style="42" customWidth="1"/>
    <col min="5" max="5" width="11.5546875" style="42" customWidth="1"/>
    <col min="6" max="6" width="9.5546875" style="42" customWidth="1"/>
    <col min="7" max="7" width="10.5546875" style="42" customWidth="1"/>
    <col min="8" max="8" width="11.44140625" style="42" customWidth="1"/>
    <col min="9" max="9" width="9.88671875" style="42" customWidth="1"/>
    <col min="10" max="10" width="11.88671875" style="42" customWidth="1"/>
    <col min="11" max="11" width="10.109375" style="42" customWidth="1"/>
    <col min="12" max="12" width="10.5546875" customWidth="1"/>
  </cols>
  <sheetData>
    <row r="1" spans="1:13" ht="25.35" customHeight="1">
      <c r="A1" s="205" t="s">
        <v>47</v>
      </c>
      <c r="B1" s="205"/>
      <c r="C1" s="209"/>
      <c r="D1" s="209"/>
      <c r="E1" s="209"/>
      <c r="F1" s="209"/>
      <c r="G1" s="209"/>
      <c r="H1" s="209"/>
      <c r="I1" s="209"/>
      <c r="J1" s="209"/>
      <c r="K1" s="209"/>
      <c r="L1" s="205"/>
      <c r="M1" s="205"/>
    </row>
    <row r="2" spans="1:13" ht="40.35" customHeight="1">
      <c r="A2" s="44" t="s">
        <v>12</v>
      </c>
      <c r="B2" s="45" t="s">
        <v>24</v>
      </c>
      <c r="C2" s="46" t="s">
        <v>38</v>
      </c>
      <c r="D2" s="46" t="s">
        <v>39</v>
      </c>
      <c r="E2" s="46" t="s">
        <v>40</v>
      </c>
      <c r="F2" s="46" t="s">
        <v>41</v>
      </c>
      <c r="G2" s="46" t="s">
        <v>42</v>
      </c>
      <c r="H2" s="46" t="s">
        <v>43</v>
      </c>
      <c r="I2" s="46" t="s">
        <v>44</v>
      </c>
      <c r="J2" s="46" t="s">
        <v>45</v>
      </c>
      <c r="K2" s="46" t="s">
        <v>46</v>
      </c>
      <c r="L2" s="162" t="s">
        <v>6</v>
      </c>
      <c r="M2" s="162" t="s">
        <v>7</v>
      </c>
    </row>
    <row r="3" spans="1:13" ht="25.35" customHeight="1">
      <c r="A3" s="8">
        <v>1</v>
      </c>
      <c r="B3" s="124" t="s">
        <v>148</v>
      </c>
      <c r="C3" s="47" t="s">
        <v>248</v>
      </c>
      <c r="D3" s="47" t="s">
        <v>248</v>
      </c>
      <c r="E3" s="47" t="s">
        <v>248</v>
      </c>
      <c r="F3" s="47" t="s">
        <v>248</v>
      </c>
      <c r="G3" s="47" t="s">
        <v>248</v>
      </c>
      <c r="H3" s="47" t="s">
        <v>248</v>
      </c>
      <c r="I3" s="47" t="s">
        <v>248</v>
      </c>
      <c r="J3" s="47" t="s">
        <v>248</v>
      </c>
      <c r="K3" s="47" t="s">
        <v>248</v>
      </c>
      <c r="L3" s="159">
        <v>0</v>
      </c>
      <c r="M3" s="135">
        <f>L3*2.5%</f>
        <v>0</v>
      </c>
    </row>
    <row r="4" spans="1:13" ht="25.35" customHeight="1">
      <c r="A4" s="8">
        <v>2</v>
      </c>
      <c r="B4" s="124" t="s">
        <v>149</v>
      </c>
      <c r="C4" s="47" t="s">
        <v>248</v>
      </c>
      <c r="D4" s="47" t="s">
        <v>248</v>
      </c>
      <c r="E4" s="47" t="s">
        <v>248</v>
      </c>
      <c r="F4" s="47" t="s">
        <v>248</v>
      </c>
      <c r="G4" s="47" t="s">
        <v>248</v>
      </c>
      <c r="H4" s="47" t="s">
        <v>248</v>
      </c>
      <c r="I4" s="47" t="s">
        <v>248</v>
      </c>
      <c r="J4" s="47" t="s">
        <v>248</v>
      </c>
      <c r="K4" s="47" t="s">
        <v>248</v>
      </c>
      <c r="L4" s="159">
        <v>0</v>
      </c>
      <c r="M4" s="135">
        <f t="shared" ref="M4:M36" si="0">L4*2.5%</f>
        <v>0</v>
      </c>
    </row>
    <row r="5" spans="1:13" ht="25.35" customHeight="1">
      <c r="A5" s="8">
        <v>3</v>
      </c>
      <c r="B5" s="124" t="s">
        <v>150</v>
      </c>
      <c r="C5" s="47" t="s">
        <v>248</v>
      </c>
      <c r="D5" s="47" t="s">
        <v>248</v>
      </c>
      <c r="E5" s="47" t="s">
        <v>248</v>
      </c>
      <c r="F5" s="47" t="s">
        <v>248</v>
      </c>
      <c r="G5" s="47" t="s">
        <v>248</v>
      </c>
      <c r="H5" s="47" t="s">
        <v>248</v>
      </c>
      <c r="I5" s="47" t="s">
        <v>248</v>
      </c>
      <c r="J5" s="47" t="s">
        <v>248</v>
      </c>
      <c r="K5" s="47" t="s">
        <v>248</v>
      </c>
      <c r="L5" s="159">
        <v>0</v>
      </c>
      <c r="M5" s="135">
        <f t="shared" si="0"/>
        <v>0</v>
      </c>
    </row>
    <row r="6" spans="1:13" ht="25.35" customHeight="1">
      <c r="A6" s="8">
        <v>4</v>
      </c>
      <c r="B6" s="124" t="s">
        <v>151</v>
      </c>
      <c r="C6" s="47" t="s">
        <v>248</v>
      </c>
      <c r="D6" s="47" t="s">
        <v>248</v>
      </c>
      <c r="E6" s="47" t="s">
        <v>248</v>
      </c>
      <c r="F6" s="47" t="s">
        <v>248</v>
      </c>
      <c r="G6" s="47" t="s">
        <v>248</v>
      </c>
      <c r="H6" s="47" t="s">
        <v>248</v>
      </c>
      <c r="I6" s="47" t="s">
        <v>248</v>
      </c>
      <c r="J6" s="47" t="s">
        <v>248</v>
      </c>
      <c r="K6" s="47" t="s">
        <v>248</v>
      </c>
      <c r="L6" s="159">
        <v>0</v>
      </c>
      <c r="M6" s="135">
        <f t="shared" si="0"/>
        <v>0</v>
      </c>
    </row>
    <row r="7" spans="1:13" ht="25.35" customHeight="1">
      <c r="A7" s="8">
        <v>5</v>
      </c>
      <c r="B7" s="124" t="s">
        <v>152</v>
      </c>
      <c r="C7" s="47" t="s">
        <v>248</v>
      </c>
      <c r="D7" s="47" t="s">
        <v>248</v>
      </c>
      <c r="E7" s="47" t="s">
        <v>248</v>
      </c>
      <c r="F7" s="47" t="s">
        <v>248</v>
      </c>
      <c r="G7" s="47" t="s">
        <v>248</v>
      </c>
      <c r="H7" s="47" t="s">
        <v>248</v>
      </c>
      <c r="I7" s="47" t="s">
        <v>248</v>
      </c>
      <c r="J7" s="47" t="s">
        <v>248</v>
      </c>
      <c r="K7" s="47" t="s">
        <v>248</v>
      </c>
      <c r="L7" s="159">
        <v>0</v>
      </c>
      <c r="M7" s="135">
        <f t="shared" si="0"/>
        <v>0</v>
      </c>
    </row>
    <row r="8" spans="1:13" ht="25.35" customHeight="1">
      <c r="A8" s="8">
        <v>6</v>
      </c>
      <c r="B8" s="124" t="s">
        <v>153</v>
      </c>
      <c r="C8" s="47" t="s">
        <v>248</v>
      </c>
      <c r="D8" s="47" t="s">
        <v>248</v>
      </c>
      <c r="E8" s="47" t="s">
        <v>248</v>
      </c>
      <c r="F8" s="47" t="s">
        <v>248</v>
      </c>
      <c r="G8" s="47" t="s">
        <v>248</v>
      </c>
      <c r="H8" s="47" t="s">
        <v>248</v>
      </c>
      <c r="I8" s="47" t="s">
        <v>248</v>
      </c>
      <c r="J8" s="47" t="s">
        <v>248</v>
      </c>
      <c r="K8" s="47" t="s">
        <v>248</v>
      </c>
      <c r="L8" s="159">
        <v>0</v>
      </c>
      <c r="M8" s="135">
        <f t="shared" si="0"/>
        <v>0</v>
      </c>
    </row>
    <row r="9" spans="1:13" ht="25.35" customHeight="1">
      <c r="A9" s="8">
        <v>7</v>
      </c>
      <c r="B9" s="124" t="s">
        <v>154</v>
      </c>
      <c r="C9" s="47" t="s">
        <v>248</v>
      </c>
      <c r="D9" s="47" t="s">
        <v>248</v>
      </c>
      <c r="E9" s="47" t="s">
        <v>248</v>
      </c>
      <c r="F9" s="47" t="s">
        <v>248</v>
      </c>
      <c r="G9" s="47" t="s">
        <v>248</v>
      </c>
      <c r="H9" s="47" t="s">
        <v>248</v>
      </c>
      <c r="I9" s="47" t="s">
        <v>248</v>
      </c>
      <c r="J9" s="47" t="s">
        <v>248</v>
      </c>
      <c r="K9" s="47" t="s">
        <v>248</v>
      </c>
      <c r="L9" s="159">
        <v>0</v>
      </c>
      <c r="M9" s="135">
        <f t="shared" si="0"/>
        <v>0</v>
      </c>
    </row>
    <row r="10" spans="1:13" ht="25.35" customHeight="1">
      <c r="A10" s="8">
        <v>8</v>
      </c>
      <c r="B10" s="124" t="s">
        <v>155</v>
      </c>
      <c r="C10" s="47" t="s">
        <v>248</v>
      </c>
      <c r="D10" s="47" t="s">
        <v>248</v>
      </c>
      <c r="E10" s="47" t="s">
        <v>248</v>
      </c>
      <c r="F10" s="47" t="s">
        <v>248</v>
      </c>
      <c r="G10" s="47" t="s">
        <v>248</v>
      </c>
      <c r="H10" s="47" t="s">
        <v>248</v>
      </c>
      <c r="I10" s="47" t="s">
        <v>248</v>
      </c>
      <c r="J10" s="47" t="s">
        <v>248</v>
      </c>
      <c r="K10" s="47" t="s">
        <v>248</v>
      </c>
      <c r="L10" s="159">
        <v>0</v>
      </c>
      <c r="M10" s="135">
        <f t="shared" si="0"/>
        <v>0</v>
      </c>
    </row>
    <row r="11" spans="1:13" ht="25.35" customHeight="1">
      <c r="A11" s="8">
        <v>9</v>
      </c>
      <c r="B11" s="124" t="s">
        <v>156</v>
      </c>
      <c r="C11" s="47" t="s">
        <v>248</v>
      </c>
      <c r="D11" s="47" t="s">
        <v>248</v>
      </c>
      <c r="E11" s="47" t="s">
        <v>248</v>
      </c>
      <c r="F11" s="47" t="s">
        <v>248</v>
      </c>
      <c r="G11" s="47" t="s">
        <v>248</v>
      </c>
      <c r="H11" s="47" t="s">
        <v>248</v>
      </c>
      <c r="I11" s="47" t="s">
        <v>248</v>
      </c>
      <c r="J11" s="47" t="s">
        <v>248</v>
      </c>
      <c r="K11" s="47" t="s">
        <v>248</v>
      </c>
      <c r="L11" s="159">
        <v>0</v>
      </c>
      <c r="M11" s="135">
        <f t="shared" si="0"/>
        <v>0</v>
      </c>
    </row>
    <row r="12" spans="1:13" ht="25.35" customHeight="1">
      <c r="A12" s="8">
        <v>10</v>
      </c>
      <c r="B12" s="124" t="s">
        <v>157</v>
      </c>
      <c r="C12" s="47" t="s">
        <v>248</v>
      </c>
      <c r="D12" s="47" t="s">
        <v>248</v>
      </c>
      <c r="E12" s="47" t="s">
        <v>248</v>
      </c>
      <c r="F12" s="47" t="s">
        <v>248</v>
      </c>
      <c r="G12" s="47" t="s">
        <v>248</v>
      </c>
      <c r="H12" s="47" t="s">
        <v>248</v>
      </c>
      <c r="I12" s="47" t="s">
        <v>248</v>
      </c>
      <c r="J12" s="47" t="s">
        <v>248</v>
      </c>
      <c r="K12" s="47" t="s">
        <v>248</v>
      </c>
      <c r="L12" s="159">
        <v>0</v>
      </c>
      <c r="M12" s="135">
        <f t="shared" si="0"/>
        <v>0</v>
      </c>
    </row>
    <row r="13" spans="1:13" ht="25.35" customHeight="1">
      <c r="A13" s="8">
        <v>11</v>
      </c>
      <c r="B13" s="124" t="s">
        <v>158</v>
      </c>
      <c r="C13" s="47" t="s">
        <v>248</v>
      </c>
      <c r="D13" s="47" t="s">
        <v>248</v>
      </c>
      <c r="E13" s="47" t="s">
        <v>248</v>
      </c>
      <c r="F13" s="47" t="s">
        <v>248</v>
      </c>
      <c r="G13" s="47" t="s">
        <v>248</v>
      </c>
      <c r="H13" s="47" t="s">
        <v>248</v>
      </c>
      <c r="I13" s="47" t="s">
        <v>248</v>
      </c>
      <c r="J13" s="47" t="s">
        <v>248</v>
      </c>
      <c r="K13" s="47" t="s">
        <v>248</v>
      </c>
      <c r="L13" s="159">
        <v>0</v>
      </c>
      <c r="M13" s="135">
        <f t="shared" si="0"/>
        <v>0</v>
      </c>
    </row>
    <row r="14" spans="1:13" ht="25.35" customHeight="1">
      <c r="A14" s="8">
        <v>12</v>
      </c>
      <c r="B14" s="124" t="s">
        <v>159</v>
      </c>
      <c r="C14" s="47" t="s">
        <v>248</v>
      </c>
      <c r="D14" s="47" t="s">
        <v>248</v>
      </c>
      <c r="E14" s="47" t="s">
        <v>248</v>
      </c>
      <c r="F14" s="47" t="s">
        <v>248</v>
      </c>
      <c r="G14" s="47" t="s">
        <v>248</v>
      </c>
      <c r="H14" s="47" t="s">
        <v>248</v>
      </c>
      <c r="I14" s="47" t="s">
        <v>248</v>
      </c>
      <c r="J14" s="47" t="s">
        <v>248</v>
      </c>
      <c r="K14" s="47" t="s">
        <v>248</v>
      </c>
      <c r="L14" s="159">
        <v>0</v>
      </c>
      <c r="M14" s="135">
        <f t="shared" si="0"/>
        <v>0</v>
      </c>
    </row>
    <row r="15" spans="1:13" ht="25.35" customHeight="1">
      <c r="A15" s="8">
        <v>13</v>
      </c>
      <c r="B15" s="124" t="s">
        <v>160</v>
      </c>
      <c r="C15" s="47" t="s">
        <v>248</v>
      </c>
      <c r="D15" s="47" t="s">
        <v>248</v>
      </c>
      <c r="E15" s="47" t="s">
        <v>248</v>
      </c>
      <c r="F15" s="47" t="s">
        <v>248</v>
      </c>
      <c r="G15" s="47" t="s">
        <v>248</v>
      </c>
      <c r="H15" s="47" t="s">
        <v>248</v>
      </c>
      <c r="I15" s="47" t="s">
        <v>248</v>
      </c>
      <c r="J15" s="47" t="s">
        <v>248</v>
      </c>
      <c r="K15" s="47" t="s">
        <v>248</v>
      </c>
      <c r="L15" s="159">
        <v>0</v>
      </c>
      <c r="M15" s="135">
        <f t="shared" si="0"/>
        <v>0</v>
      </c>
    </row>
    <row r="16" spans="1:13" ht="25.35" customHeight="1">
      <c r="A16" s="8">
        <v>14</v>
      </c>
      <c r="B16" s="124" t="s">
        <v>161</v>
      </c>
      <c r="C16" s="47" t="s">
        <v>248</v>
      </c>
      <c r="D16" s="47" t="s">
        <v>248</v>
      </c>
      <c r="E16" s="47" t="s">
        <v>248</v>
      </c>
      <c r="F16" s="47" t="s">
        <v>248</v>
      </c>
      <c r="G16" s="47" t="s">
        <v>248</v>
      </c>
      <c r="H16" s="47" t="s">
        <v>248</v>
      </c>
      <c r="I16" s="47" t="s">
        <v>248</v>
      </c>
      <c r="J16" s="47" t="s">
        <v>248</v>
      </c>
      <c r="K16" s="47" t="s">
        <v>248</v>
      </c>
      <c r="L16" s="159">
        <v>0</v>
      </c>
      <c r="M16" s="135">
        <f t="shared" si="0"/>
        <v>0</v>
      </c>
    </row>
    <row r="17" spans="1:13" ht="25.35" customHeight="1">
      <c r="A17" s="8">
        <v>15</v>
      </c>
      <c r="B17" s="124" t="s">
        <v>162</v>
      </c>
      <c r="C17" s="47" t="s">
        <v>248</v>
      </c>
      <c r="D17" s="47" t="s">
        <v>248</v>
      </c>
      <c r="E17" s="47" t="s">
        <v>248</v>
      </c>
      <c r="F17" s="47" t="s">
        <v>248</v>
      </c>
      <c r="G17" s="47" t="s">
        <v>248</v>
      </c>
      <c r="H17" s="47" t="s">
        <v>248</v>
      </c>
      <c r="I17" s="47" t="s">
        <v>248</v>
      </c>
      <c r="J17" s="47" t="s">
        <v>248</v>
      </c>
      <c r="K17" s="47" t="s">
        <v>248</v>
      </c>
      <c r="L17" s="159">
        <v>0</v>
      </c>
      <c r="M17" s="135">
        <f t="shared" si="0"/>
        <v>0</v>
      </c>
    </row>
    <row r="18" spans="1:13" ht="25.35" customHeight="1">
      <c r="A18" s="8">
        <v>16</v>
      </c>
      <c r="B18" s="124" t="s">
        <v>163</v>
      </c>
      <c r="C18" s="47" t="s">
        <v>248</v>
      </c>
      <c r="D18" s="47" t="s">
        <v>248</v>
      </c>
      <c r="E18" s="47" t="s">
        <v>248</v>
      </c>
      <c r="F18" s="47" t="s">
        <v>248</v>
      </c>
      <c r="G18" s="47" t="s">
        <v>248</v>
      </c>
      <c r="H18" s="47" t="s">
        <v>248</v>
      </c>
      <c r="I18" s="47" t="s">
        <v>248</v>
      </c>
      <c r="J18" s="47" t="s">
        <v>248</v>
      </c>
      <c r="K18" s="47" t="s">
        <v>248</v>
      </c>
      <c r="L18" s="159">
        <v>0</v>
      </c>
      <c r="M18" s="135">
        <f t="shared" si="0"/>
        <v>0</v>
      </c>
    </row>
    <row r="19" spans="1:13" ht="25.35" customHeight="1">
      <c r="A19" s="8">
        <v>17</v>
      </c>
      <c r="B19" s="124" t="s">
        <v>164</v>
      </c>
      <c r="C19" s="47" t="s">
        <v>248</v>
      </c>
      <c r="D19" s="47" t="s">
        <v>248</v>
      </c>
      <c r="E19" s="47" t="s">
        <v>248</v>
      </c>
      <c r="F19" s="47" t="s">
        <v>248</v>
      </c>
      <c r="G19" s="47" t="s">
        <v>248</v>
      </c>
      <c r="H19" s="47" t="s">
        <v>248</v>
      </c>
      <c r="I19" s="47" t="s">
        <v>248</v>
      </c>
      <c r="J19" s="47" t="s">
        <v>248</v>
      </c>
      <c r="K19" s="47" t="s">
        <v>248</v>
      </c>
      <c r="L19" s="159">
        <v>0</v>
      </c>
      <c r="M19" s="135">
        <f t="shared" si="0"/>
        <v>0</v>
      </c>
    </row>
    <row r="20" spans="1:13" ht="25.35" customHeight="1">
      <c r="A20" s="8">
        <v>18</v>
      </c>
      <c r="B20" s="124" t="s">
        <v>165</v>
      </c>
      <c r="C20" s="47" t="s">
        <v>248</v>
      </c>
      <c r="D20" s="47" t="s">
        <v>248</v>
      </c>
      <c r="E20" s="47" t="s">
        <v>248</v>
      </c>
      <c r="F20" s="47" t="s">
        <v>248</v>
      </c>
      <c r="G20" s="47" t="s">
        <v>248</v>
      </c>
      <c r="H20" s="47" t="s">
        <v>248</v>
      </c>
      <c r="I20" s="47" t="s">
        <v>248</v>
      </c>
      <c r="J20" s="47" t="s">
        <v>248</v>
      </c>
      <c r="K20" s="47" t="s">
        <v>248</v>
      </c>
      <c r="L20" s="159">
        <v>0</v>
      </c>
      <c r="M20" s="135">
        <f t="shared" si="0"/>
        <v>0</v>
      </c>
    </row>
    <row r="21" spans="1:13" ht="25.35" customHeight="1">
      <c r="A21" s="8">
        <v>19</v>
      </c>
      <c r="B21" s="124" t="s">
        <v>166</v>
      </c>
      <c r="C21" s="47" t="s">
        <v>248</v>
      </c>
      <c r="D21" s="47" t="s">
        <v>248</v>
      </c>
      <c r="E21" s="47" t="s">
        <v>248</v>
      </c>
      <c r="F21" s="47" t="s">
        <v>248</v>
      </c>
      <c r="G21" s="47" t="s">
        <v>248</v>
      </c>
      <c r="H21" s="47" t="s">
        <v>248</v>
      </c>
      <c r="I21" s="47" t="s">
        <v>248</v>
      </c>
      <c r="J21" s="47" t="s">
        <v>248</v>
      </c>
      <c r="K21" s="47" t="s">
        <v>248</v>
      </c>
      <c r="L21" s="159">
        <v>0</v>
      </c>
      <c r="M21" s="135">
        <f t="shared" si="0"/>
        <v>0</v>
      </c>
    </row>
    <row r="22" spans="1:13" ht="25.35" customHeight="1">
      <c r="A22" s="8">
        <v>20</v>
      </c>
      <c r="B22" s="124" t="s">
        <v>167</v>
      </c>
      <c r="C22" s="47" t="s">
        <v>248</v>
      </c>
      <c r="D22" s="47" t="s">
        <v>248</v>
      </c>
      <c r="E22" s="47" t="s">
        <v>248</v>
      </c>
      <c r="F22" s="47" t="s">
        <v>248</v>
      </c>
      <c r="G22" s="47" t="s">
        <v>248</v>
      </c>
      <c r="H22" s="47" t="s">
        <v>248</v>
      </c>
      <c r="I22" s="47" t="s">
        <v>248</v>
      </c>
      <c r="J22" s="47" t="s">
        <v>248</v>
      </c>
      <c r="K22" s="47" t="s">
        <v>248</v>
      </c>
      <c r="L22" s="159">
        <v>0</v>
      </c>
      <c r="M22" s="135">
        <f t="shared" si="0"/>
        <v>0</v>
      </c>
    </row>
    <row r="23" spans="1:13" ht="25.35" customHeight="1">
      <c r="A23" s="8">
        <v>21</v>
      </c>
      <c r="B23" s="124" t="s">
        <v>168</v>
      </c>
      <c r="C23" s="47" t="s">
        <v>248</v>
      </c>
      <c r="D23" s="47" t="s">
        <v>248</v>
      </c>
      <c r="E23" s="47" t="s">
        <v>248</v>
      </c>
      <c r="F23" s="47" t="s">
        <v>248</v>
      </c>
      <c r="G23" s="47" t="s">
        <v>248</v>
      </c>
      <c r="H23" s="47" t="s">
        <v>248</v>
      </c>
      <c r="I23" s="47" t="s">
        <v>248</v>
      </c>
      <c r="J23" s="47" t="s">
        <v>248</v>
      </c>
      <c r="K23" s="47" t="s">
        <v>248</v>
      </c>
      <c r="L23" s="159">
        <v>0</v>
      </c>
      <c r="M23" s="135">
        <f t="shared" si="0"/>
        <v>0</v>
      </c>
    </row>
    <row r="24" spans="1:13" ht="25.35" customHeight="1">
      <c r="A24" s="8">
        <v>22</v>
      </c>
      <c r="B24" s="124" t="s">
        <v>169</v>
      </c>
      <c r="C24" s="47" t="s">
        <v>248</v>
      </c>
      <c r="D24" s="47" t="s">
        <v>248</v>
      </c>
      <c r="E24" s="47" t="s">
        <v>248</v>
      </c>
      <c r="F24" s="47" t="s">
        <v>248</v>
      </c>
      <c r="G24" s="47" t="s">
        <v>248</v>
      </c>
      <c r="H24" s="47" t="s">
        <v>248</v>
      </c>
      <c r="I24" s="47" t="s">
        <v>248</v>
      </c>
      <c r="J24" s="47" t="s">
        <v>248</v>
      </c>
      <c r="K24" s="47" t="s">
        <v>248</v>
      </c>
      <c r="L24" s="159">
        <v>0</v>
      </c>
      <c r="M24" s="135">
        <f t="shared" si="0"/>
        <v>0</v>
      </c>
    </row>
    <row r="25" spans="1:13" ht="25.35" customHeight="1">
      <c r="A25" s="8">
        <v>23</v>
      </c>
      <c r="B25" s="124" t="s">
        <v>170</v>
      </c>
      <c r="C25" s="47" t="s">
        <v>248</v>
      </c>
      <c r="D25" s="47" t="s">
        <v>248</v>
      </c>
      <c r="E25" s="47" t="s">
        <v>248</v>
      </c>
      <c r="F25" s="47" t="s">
        <v>248</v>
      </c>
      <c r="G25" s="47" t="s">
        <v>248</v>
      </c>
      <c r="H25" s="47" t="s">
        <v>248</v>
      </c>
      <c r="I25" s="47" t="s">
        <v>248</v>
      </c>
      <c r="J25" s="47" t="s">
        <v>248</v>
      </c>
      <c r="K25" s="47" t="s">
        <v>248</v>
      </c>
      <c r="L25" s="159">
        <v>0</v>
      </c>
      <c r="M25" s="135">
        <f t="shared" si="0"/>
        <v>0</v>
      </c>
    </row>
    <row r="26" spans="1:13" ht="25.35" customHeight="1">
      <c r="A26" s="8">
        <v>24</v>
      </c>
      <c r="B26" s="124" t="s">
        <v>171</v>
      </c>
      <c r="C26" s="47" t="s">
        <v>248</v>
      </c>
      <c r="D26" s="47" t="s">
        <v>248</v>
      </c>
      <c r="E26" s="47" t="s">
        <v>248</v>
      </c>
      <c r="F26" s="47" t="s">
        <v>248</v>
      </c>
      <c r="G26" s="47" t="s">
        <v>248</v>
      </c>
      <c r="H26" s="47" t="s">
        <v>248</v>
      </c>
      <c r="I26" s="47" t="s">
        <v>248</v>
      </c>
      <c r="J26" s="47" t="s">
        <v>248</v>
      </c>
      <c r="K26" s="47" t="s">
        <v>248</v>
      </c>
      <c r="L26" s="159">
        <v>0</v>
      </c>
      <c r="M26" s="135">
        <f t="shared" si="0"/>
        <v>0</v>
      </c>
    </row>
    <row r="27" spans="1:13" ht="25.35" customHeight="1">
      <c r="A27" s="8">
        <v>25</v>
      </c>
      <c r="B27" s="124" t="s">
        <v>172</v>
      </c>
      <c r="C27" s="47" t="s">
        <v>248</v>
      </c>
      <c r="D27" s="47" t="s">
        <v>248</v>
      </c>
      <c r="E27" s="47" t="s">
        <v>248</v>
      </c>
      <c r="F27" s="47" t="s">
        <v>248</v>
      </c>
      <c r="G27" s="47" t="s">
        <v>248</v>
      </c>
      <c r="H27" s="47" t="s">
        <v>248</v>
      </c>
      <c r="I27" s="47" t="s">
        <v>248</v>
      </c>
      <c r="J27" s="47" t="s">
        <v>248</v>
      </c>
      <c r="K27" s="47" t="s">
        <v>248</v>
      </c>
      <c r="L27" s="159">
        <v>0</v>
      </c>
      <c r="M27" s="135">
        <f t="shared" si="0"/>
        <v>0</v>
      </c>
    </row>
    <row r="28" spans="1:13" ht="25.35" customHeight="1">
      <c r="A28" s="8">
        <v>26</v>
      </c>
      <c r="B28" s="124" t="s">
        <v>173</v>
      </c>
      <c r="C28" s="47" t="s">
        <v>248</v>
      </c>
      <c r="D28" s="47" t="s">
        <v>248</v>
      </c>
      <c r="E28" s="47" t="s">
        <v>248</v>
      </c>
      <c r="F28" s="47" t="s">
        <v>248</v>
      </c>
      <c r="G28" s="47" t="s">
        <v>248</v>
      </c>
      <c r="H28" s="47" t="s">
        <v>248</v>
      </c>
      <c r="I28" s="47" t="s">
        <v>248</v>
      </c>
      <c r="J28" s="47" t="s">
        <v>248</v>
      </c>
      <c r="K28" s="47" t="s">
        <v>248</v>
      </c>
      <c r="L28" s="159">
        <v>0</v>
      </c>
      <c r="M28" s="135">
        <f t="shared" si="0"/>
        <v>0</v>
      </c>
    </row>
    <row r="29" spans="1:13" ht="25.35" customHeight="1">
      <c r="A29" s="8">
        <v>27</v>
      </c>
      <c r="B29" s="124" t="s">
        <v>174</v>
      </c>
      <c r="C29" s="47" t="s">
        <v>248</v>
      </c>
      <c r="D29" s="47" t="s">
        <v>248</v>
      </c>
      <c r="E29" s="47" t="s">
        <v>248</v>
      </c>
      <c r="F29" s="47" t="s">
        <v>248</v>
      </c>
      <c r="G29" s="47" t="s">
        <v>248</v>
      </c>
      <c r="H29" s="47" t="s">
        <v>248</v>
      </c>
      <c r="I29" s="47" t="s">
        <v>248</v>
      </c>
      <c r="J29" s="47" t="s">
        <v>248</v>
      </c>
      <c r="K29" s="47" t="s">
        <v>248</v>
      </c>
      <c r="L29" s="159">
        <v>0</v>
      </c>
      <c r="M29" s="135">
        <f t="shared" si="0"/>
        <v>0</v>
      </c>
    </row>
    <row r="30" spans="1:13" ht="25.35" customHeight="1">
      <c r="A30" s="8">
        <v>28</v>
      </c>
      <c r="B30" s="124" t="s">
        <v>175</v>
      </c>
      <c r="C30" s="47" t="s">
        <v>248</v>
      </c>
      <c r="D30" s="47" t="s">
        <v>248</v>
      </c>
      <c r="E30" s="47" t="s">
        <v>248</v>
      </c>
      <c r="F30" s="47" t="s">
        <v>248</v>
      </c>
      <c r="G30" s="47" t="s">
        <v>248</v>
      </c>
      <c r="H30" s="47" t="s">
        <v>248</v>
      </c>
      <c r="I30" s="47" t="s">
        <v>248</v>
      </c>
      <c r="J30" s="47" t="s">
        <v>248</v>
      </c>
      <c r="K30" s="47" t="s">
        <v>248</v>
      </c>
      <c r="L30" s="159">
        <v>0</v>
      </c>
      <c r="M30" s="135">
        <f t="shared" si="0"/>
        <v>0</v>
      </c>
    </row>
    <row r="31" spans="1:13" ht="25.35" customHeight="1">
      <c r="A31" s="8">
        <v>29</v>
      </c>
      <c r="B31" s="124" t="s">
        <v>176</v>
      </c>
      <c r="C31" s="47" t="s">
        <v>248</v>
      </c>
      <c r="D31" s="47" t="s">
        <v>248</v>
      </c>
      <c r="E31" s="47" t="s">
        <v>248</v>
      </c>
      <c r="F31" s="47" t="s">
        <v>248</v>
      </c>
      <c r="G31" s="47" t="s">
        <v>248</v>
      </c>
      <c r="H31" s="47" t="s">
        <v>248</v>
      </c>
      <c r="I31" s="47" t="s">
        <v>248</v>
      </c>
      <c r="J31" s="47" t="s">
        <v>248</v>
      </c>
      <c r="K31" s="47" t="s">
        <v>248</v>
      </c>
      <c r="L31" s="159">
        <v>0</v>
      </c>
      <c r="M31" s="135">
        <f t="shared" si="0"/>
        <v>0</v>
      </c>
    </row>
    <row r="32" spans="1:13" ht="25.35" customHeight="1">
      <c r="A32" s="8">
        <v>30</v>
      </c>
      <c r="B32" s="124" t="s">
        <v>177</v>
      </c>
      <c r="C32" s="47" t="s">
        <v>248</v>
      </c>
      <c r="D32" s="47" t="s">
        <v>248</v>
      </c>
      <c r="E32" s="47" t="s">
        <v>248</v>
      </c>
      <c r="F32" s="47" t="s">
        <v>248</v>
      </c>
      <c r="G32" s="47" t="s">
        <v>248</v>
      </c>
      <c r="H32" s="47" t="s">
        <v>248</v>
      </c>
      <c r="I32" s="47" t="s">
        <v>248</v>
      </c>
      <c r="J32" s="47" t="s">
        <v>248</v>
      </c>
      <c r="K32" s="47" t="s">
        <v>248</v>
      </c>
      <c r="L32" s="159">
        <v>0</v>
      </c>
      <c r="M32" s="135">
        <f t="shared" si="0"/>
        <v>0</v>
      </c>
    </row>
    <row r="33" spans="1:13" ht="25.35" customHeight="1">
      <c r="A33" s="8">
        <v>31</v>
      </c>
      <c r="B33" s="124" t="s">
        <v>178</v>
      </c>
      <c r="C33" s="47" t="s">
        <v>248</v>
      </c>
      <c r="D33" s="47" t="s">
        <v>248</v>
      </c>
      <c r="E33" s="47" t="s">
        <v>248</v>
      </c>
      <c r="F33" s="47" t="s">
        <v>248</v>
      </c>
      <c r="G33" s="47" t="s">
        <v>248</v>
      </c>
      <c r="H33" s="47" t="s">
        <v>248</v>
      </c>
      <c r="I33" s="47" t="s">
        <v>248</v>
      </c>
      <c r="J33" s="47" t="s">
        <v>248</v>
      </c>
      <c r="K33" s="47" t="s">
        <v>248</v>
      </c>
      <c r="L33" s="159">
        <v>0</v>
      </c>
      <c r="M33" s="135">
        <f t="shared" si="0"/>
        <v>0</v>
      </c>
    </row>
    <row r="34" spans="1:13" ht="25.35" customHeight="1">
      <c r="A34" s="8">
        <v>32</v>
      </c>
      <c r="B34" s="124" t="s">
        <v>179</v>
      </c>
      <c r="C34" s="47" t="s">
        <v>248</v>
      </c>
      <c r="D34" s="47" t="s">
        <v>248</v>
      </c>
      <c r="E34" s="47" t="s">
        <v>248</v>
      </c>
      <c r="F34" s="47" t="s">
        <v>248</v>
      </c>
      <c r="G34" s="47" t="s">
        <v>248</v>
      </c>
      <c r="H34" s="47" t="s">
        <v>248</v>
      </c>
      <c r="I34" s="47" t="s">
        <v>248</v>
      </c>
      <c r="J34" s="47" t="s">
        <v>248</v>
      </c>
      <c r="K34" s="47" t="s">
        <v>248</v>
      </c>
      <c r="L34" s="159">
        <v>0</v>
      </c>
      <c r="M34" s="135">
        <f t="shared" si="0"/>
        <v>0</v>
      </c>
    </row>
    <row r="35" spans="1:13" ht="25.35" customHeight="1">
      <c r="A35" s="8">
        <v>33</v>
      </c>
      <c r="B35" s="124" t="s">
        <v>180</v>
      </c>
      <c r="C35" s="47" t="s">
        <v>248</v>
      </c>
      <c r="D35" s="47" t="s">
        <v>248</v>
      </c>
      <c r="E35" s="47" t="s">
        <v>248</v>
      </c>
      <c r="F35" s="47" t="s">
        <v>248</v>
      </c>
      <c r="G35" s="47" t="s">
        <v>248</v>
      </c>
      <c r="H35" s="47" t="s">
        <v>248</v>
      </c>
      <c r="I35" s="47" t="s">
        <v>248</v>
      </c>
      <c r="J35" s="47" t="s">
        <v>248</v>
      </c>
      <c r="K35" s="47" t="s">
        <v>248</v>
      </c>
      <c r="L35" s="159">
        <v>0</v>
      </c>
      <c r="M35" s="135">
        <f t="shared" si="0"/>
        <v>0</v>
      </c>
    </row>
    <row r="36" spans="1:13" ht="27" hidden="1" customHeight="1">
      <c r="A36" s="207" t="s">
        <v>8</v>
      </c>
      <c r="B36" s="208"/>
      <c r="C36" s="47" t="s">
        <v>248</v>
      </c>
      <c r="D36" s="47" t="s">
        <v>248</v>
      </c>
      <c r="E36" s="47" t="s">
        <v>248</v>
      </c>
      <c r="F36" s="47" t="s">
        <v>248</v>
      </c>
      <c r="G36" s="47" t="s">
        <v>248</v>
      </c>
      <c r="H36" s="47" t="s">
        <v>248</v>
      </c>
      <c r="I36" s="47" t="s">
        <v>248</v>
      </c>
      <c r="J36" s="47" t="s">
        <v>248</v>
      </c>
      <c r="K36" s="47" t="s">
        <v>248</v>
      </c>
      <c r="L36" s="33">
        <v>0</v>
      </c>
      <c r="M36" s="34">
        <f t="shared" si="0"/>
        <v>0</v>
      </c>
    </row>
  </sheetData>
  <mergeCells count="2">
    <mergeCell ref="A1:M1"/>
    <mergeCell ref="A36:B3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CE2B-D750-4ACD-BB31-29C14849061A}">
  <sheetPr codeName="Sheet21">
    <tabColor rgb="FF00B0F0"/>
  </sheetPr>
  <dimension ref="A1:H54"/>
  <sheetViews>
    <sheetView zoomScale="160" zoomScaleNormal="160" workbookViewId="0">
      <pane ySplit="2" topLeftCell="A15" activePane="bottomLeft" state="frozen"/>
      <selection pane="bottomLeft" activeCell="J18" sqref="J18"/>
    </sheetView>
  </sheetViews>
  <sheetFormatPr defaultRowHeight="14.4"/>
  <cols>
    <col min="1" max="1" width="5.5546875" customWidth="1"/>
    <col min="2" max="2" width="15.33203125" customWidth="1"/>
    <col min="3" max="3" width="11" customWidth="1"/>
    <col min="4" max="6" width="11.109375" customWidth="1"/>
    <col min="7" max="7" width="9.88671875" style="53" bestFit="1" customWidth="1"/>
  </cols>
  <sheetData>
    <row r="1" spans="1:8" ht="26.1" customHeight="1">
      <c r="A1" s="210" t="s">
        <v>53</v>
      </c>
      <c r="B1" s="210"/>
      <c r="C1" s="210"/>
      <c r="D1" s="210"/>
      <c r="E1" s="210"/>
      <c r="F1" s="210"/>
      <c r="G1" s="210"/>
      <c r="H1" s="210"/>
    </row>
    <row r="2" spans="1:8" ht="44.25" customHeight="1">
      <c r="A2" s="48" t="s">
        <v>0</v>
      </c>
      <c r="B2" s="49" t="s">
        <v>48</v>
      </c>
      <c r="C2" s="50" t="s">
        <v>49</v>
      </c>
      <c r="D2" s="50" t="s">
        <v>50</v>
      </c>
      <c r="E2" s="50" t="s">
        <v>51</v>
      </c>
      <c r="F2" s="50" t="s">
        <v>52</v>
      </c>
      <c r="G2" s="163" t="s">
        <v>6</v>
      </c>
      <c r="H2" s="133" t="s">
        <v>7</v>
      </c>
    </row>
    <row r="3" spans="1:8" s="17" customFormat="1" ht="19.350000000000001" customHeight="1">
      <c r="A3" s="8">
        <v>1</v>
      </c>
      <c r="B3" s="124" t="s">
        <v>148</v>
      </c>
      <c r="C3" s="51">
        <v>0</v>
      </c>
      <c r="D3" s="51">
        <v>0</v>
      </c>
      <c r="E3" s="51">
        <v>0</v>
      </c>
      <c r="F3" s="51">
        <v>0</v>
      </c>
      <c r="G3" s="164">
        <v>100</v>
      </c>
      <c r="H3" s="165">
        <f>G3*5%</f>
        <v>5</v>
      </c>
    </row>
    <row r="4" spans="1:8" s="17" customFormat="1" ht="19.350000000000001" customHeight="1">
      <c r="A4" s="8">
        <v>2</v>
      </c>
      <c r="B4" s="124" t="s">
        <v>149</v>
      </c>
      <c r="C4" s="51">
        <v>0</v>
      </c>
      <c r="D4" s="51">
        <v>0</v>
      </c>
      <c r="E4" s="51">
        <v>0</v>
      </c>
      <c r="F4" s="51">
        <v>0</v>
      </c>
      <c r="G4" s="164">
        <v>100</v>
      </c>
      <c r="H4" s="165">
        <f t="shared" ref="H4:H35" si="0">G4*5%</f>
        <v>5</v>
      </c>
    </row>
    <row r="5" spans="1:8" s="17" customFormat="1" ht="19.350000000000001" customHeight="1">
      <c r="A5" s="8">
        <v>3</v>
      </c>
      <c r="B5" s="124" t="s">
        <v>150</v>
      </c>
      <c r="C5" s="51">
        <v>0</v>
      </c>
      <c r="D5" s="51">
        <v>0</v>
      </c>
      <c r="E5" s="51">
        <v>0</v>
      </c>
      <c r="F5" s="51">
        <v>0</v>
      </c>
      <c r="G5" s="164">
        <v>100</v>
      </c>
      <c r="H5" s="165">
        <f t="shared" si="0"/>
        <v>5</v>
      </c>
    </row>
    <row r="6" spans="1:8" s="17" customFormat="1" ht="19.350000000000001" customHeight="1">
      <c r="A6" s="8">
        <v>4</v>
      </c>
      <c r="B6" s="124" t="s">
        <v>151</v>
      </c>
      <c r="C6" s="51">
        <v>0</v>
      </c>
      <c r="D6" s="51">
        <v>0</v>
      </c>
      <c r="E6" s="51">
        <v>0</v>
      </c>
      <c r="F6" s="51">
        <v>0</v>
      </c>
      <c r="G6" s="164">
        <v>100</v>
      </c>
      <c r="H6" s="165">
        <f t="shared" si="0"/>
        <v>5</v>
      </c>
    </row>
    <row r="7" spans="1:8" s="17" customFormat="1" ht="19.350000000000001" customHeight="1">
      <c r="A7" s="8">
        <v>5</v>
      </c>
      <c r="B7" s="124" t="s">
        <v>152</v>
      </c>
      <c r="C7" s="51">
        <v>0</v>
      </c>
      <c r="D7" s="51">
        <v>0</v>
      </c>
      <c r="E7" s="51">
        <v>0</v>
      </c>
      <c r="F7" s="51">
        <v>0</v>
      </c>
      <c r="G7" s="164">
        <v>100</v>
      </c>
      <c r="H7" s="165">
        <f t="shared" si="0"/>
        <v>5</v>
      </c>
    </row>
    <row r="8" spans="1:8" s="17" customFormat="1" ht="19.350000000000001" customHeight="1">
      <c r="A8" s="8">
        <v>6</v>
      </c>
      <c r="B8" s="124" t="s">
        <v>153</v>
      </c>
      <c r="C8" s="51">
        <v>0</v>
      </c>
      <c r="D8" s="51">
        <v>0</v>
      </c>
      <c r="E8" s="51">
        <v>0</v>
      </c>
      <c r="F8" s="51">
        <v>0</v>
      </c>
      <c r="G8" s="164">
        <v>100</v>
      </c>
      <c r="H8" s="165">
        <f t="shared" si="0"/>
        <v>5</v>
      </c>
    </row>
    <row r="9" spans="1:8" s="17" customFormat="1" ht="19.350000000000001" customHeight="1">
      <c r="A9" s="8">
        <v>7</v>
      </c>
      <c r="B9" s="124" t="s">
        <v>154</v>
      </c>
      <c r="C9" s="51">
        <v>0</v>
      </c>
      <c r="D9" s="51">
        <v>0</v>
      </c>
      <c r="E9" s="51">
        <v>0</v>
      </c>
      <c r="F9" s="51">
        <v>0</v>
      </c>
      <c r="G9" s="164">
        <v>100</v>
      </c>
      <c r="H9" s="165">
        <f t="shared" si="0"/>
        <v>5</v>
      </c>
    </row>
    <row r="10" spans="1:8" s="17" customFormat="1" ht="19.350000000000001" customHeight="1">
      <c r="A10" s="8">
        <v>8</v>
      </c>
      <c r="B10" s="124" t="s">
        <v>155</v>
      </c>
      <c r="C10" s="51">
        <v>0</v>
      </c>
      <c r="D10" s="51">
        <v>0</v>
      </c>
      <c r="E10" s="51">
        <v>0</v>
      </c>
      <c r="F10" s="51">
        <v>0</v>
      </c>
      <c r="G10" s="164">
        <v>100</v>
      </c>
      <c r="H10" s="165">
        <f t="shared" si="0"/>
        <v>5</v>
      </c>
    </row>
    <row r="11" spans="1:8" s="17" customFormat="1" ht="19.350000000000001" customHeight="1">
      <c r="A11" s="8">
        <v>9</v>
      </c>
      <c r="B11" s="124" t="s">
        <v>156</v>
      </c>
      <c r="C11" s="51">
        <v>0</v>
      </c>
      <c r="D11" s="51">
        <v>0</v>
      </c>
      <c r="E11" s="51">
        <v>0</v>
      </c>
      <c r="F11" s="51">
        <v>0</v>
      </c>
      <c r="G11" s="164">
        <v>100</v>
      </c>
      <c r="H11" s="165">
        <f t="shared" si="0"/>
        <v>5</v>
      </c>
    </row>
    <row r="12" spans="1:8" s="17" customFormat="1" ht="19.350000000000001" customHeight="1">
      <c r="A12" s="8">
        <v>10</v>
      </c>
      <c r="B12" s="124" t="s">
        <v>157</v>
      </c>
      <c r="C12" s="51">
        <v>0</v>
      </c>
      <c r="D12" s="51">
        <v>0</v>
      </c>
      <c r="E12" s="51">
        <v>0</v>
      </c>
      <c r="F12" s="51">
        <v>0</v>
      </c>
      <c r="G12" s="164">
        <v>100</v>
      </c>
      <c r="H12" s="165">
        <f t="shared" si="0"/>
        <v>5</v>
      </c>
    </row>
    <row r="13" spans="1:8" s="17" customFormat="1" ht="19.350000000000001" customHeight="1">
      <c r="A13" s="8">
        <v>11</v>
      </c>
      <c r="B13" s="124" t="s">
        <v>158</v>
      </c>
      <c r="C13" s="51">
        <v>0</v>
      </c>
      <c r="D13" s="51">
        <v>0</v>
      </c>
      <c r="E13" s="51">
        <v>0</v>
      </c>
      <c r="F13" s="51">
        <v>0</v>
      </c>
      <c r="G13" s="164">
        <v>100</v>
      </c>
      <c r="H13" s="165">
        <f t="shared" si="0"/>
        <v>5</v>
      </c>
    </row>
    <row r="14" spans="1:8" s="17" customFormat="1" ht="19.350000000000001" customHeight="1">
      <c r="A14" s="8">
        <v>12</v>
      </c>
      <c r="B14" s="124" t="s">
        <v>159</v>
      </c>
      <c r="C14" s="51">
        <v>0</v>
      </c>
      <c r="D14" s="51">
        <v>0</v>
      </c>
      <c r="E14" s="51">
        <v>0</v>
      </c>
      <c r="F14" s="51">
        <v>0</v>
      </c>
      <c r="G14" s="164">
        <v>100</v>
      </c>
      <c r="H14" s="165">
        <f t="shared" si="0"/>
        <v>5</v>
      </c>
    </row>
    <row r="15" spans="1:8" s="17" customFormat="1" ht="19.350000000000001" customHeight="1">
      <c r="A15" s="8">
        <v>13</v>
      </c>
      <c r="B15" s="124" t="s">
        <v>160</v>
      </c>
      <c r="C15" s="51">
        <v>0</v>
      </c>
      <c r="D15" s="51">
        <v>0</v>
      </c>
      <c r="E15" s="51">
        <v>0</v>
      </c>
      <c r="F15" s="51">
        <v>0</v>
      </c>
      <c r="G15" s="164">
        <v>100</v>
      </c>
      <c r="H15" s="165">
        <f t="shared" si="0"/>
        <v>5</v>
      </c>
    </row>
    <row r="16" spans="1:8" s="17" customFormat="1" ht="19.350000000000001" customHeight="1">
      <c r="A16" s="8">
        <v>14</v>
      </c>
      <c r="B16" s="124" t="s">
        <v>161</v>
      </c>
      <c r="C16" s="51">
        <v>0</v>
      </c>
      <c r="D16" s="51">
        <v>0</v>
      </c>
      <c r="E16" s="51">
        <v>0</v>
      </c>
      <c r="F16" s="51">
        <v>0</v>
      </c>
      <c r="G16" s="164">
        <v>100</v>
      </c>
      <c r="H16" s="165">
        <f t="shared" si="0"/>
        <v>5</v>
      </c>
    </row>
    <row r="17" spans="1:8" s="17" customFormat="1" ht="19.350000000000001" customHeight="1">
      <c r="A17" s="8">
        <v>15</v>
      </c>
      <c r="B17" s="124" t="s">
        <v>162</v>
      </c>
      <c r="C17" s="51">
        <v>0</v>
      </c>
      <c r="D17" s="51">
        <v>0</v>
      </c>
      <c r="E17" s="51">
        <v>0</v>
      </c>
      <c r="F17" s="51">
        <v>0</v>
      </c>
      <c r="G17" s="164">
        <v>100</v>
      </c>
      <c r="H17" s="165">
        <f t="shared" si="0"/>
        <v>5</v>
      </c>
    </row>
    <row r="18" spans="1:8" s="17" customFormat="1" ht="19.350000000000001" customHeight="1">
      <c r="A18" s="8">
        <v>16</v>
      </c>
      <c r="B18" s="124" t="s">
        <v>163</v>
      </c>
      <c r="C18" s="51">
        <v>0</v>
      </c>
      <c r="D18" s="51">
        <v>0</v>
      </c>
      <c r="E18" s="51">
        <v>0</v>
      </c>
      <c r="F18" s="51">
        <v>0</v>
      </c>
      <c r="G18" s="164">
        <v>100</v>
      </c>
      <c r="H18" s="165">
        <f t="shared" si="0"/>
        <v>5</v>
      </c>
    </row>
    <row r="19" spans="1:8" s="17" customFormat="1" ht="19.350000000000001" customHeight="1">
      <c r="A19" s="8">
        <v>17</v>
      </c>
      <c r="B19" s="124" t="s">
        <v>164</v>
      </c>
      <c r="C19" s="51">
        <v>0</v>
      </c>
      <c r="D19" s="51">
        <v>0</v>
      </c>
      <c r="E19" s="51">
        <v>0</v>
      </c>
      <c r="F19" s="51">
        <v>0</v>
      </c>
      <c r="G19" s="164">
        <v>100</v>
      </c>
      <c r="H19" s="165">
        <f t="shared" si="0"/>
        <v>5</v>
      </c>
    </row>
    <row r="20" spans="1:8" s="17" customFormat="1" ht="19.350000000000001" customHeight="1">
      <c r="A20" s="8">
        <v>18</v>
      </c>
      <c r="B20" s="124" t="s">
        <v>165</v>
      </c>
      <c r="C20" s="51">
        <v>0</v>
      </c>
      <c r="D20" s="51">
        <v>0</v>
      </c>
      <c r="E20" s="51">
        <v>0</v>
      </c>
      <c r="F20" s="51">
        <v>0</v>
      </c>
      <c r="G20" s="164">
        <v>100</v>
      </c>
      <c r="H20" s="165">
        <f t="shared" si="0"/>
        <v>5</v>
      </c>
    </row>
    <row r="21" spans="1:8" s="17" customFormat="1" ht="19.350000000000001" customHeight="1">
      <c r="A21" s="8">
        <v>19</v>
      </c>
      <c r="B21" s="124" t="s">
        <v>166</v>
      </c>
      <c r="C21" s="51">
        <v>0</v>
      </c>
      <c r="D21" s="51">
        <v>0</v>
      </c>
      <c r="E21" s="51">
        <v>0</v>
      </c>
      <c r="F21" s="51">
        <v>0</v>
      </c>
      <c r="G21" s="164">
        <v>100</v>
      </c>
      <c r="H21" s="165">
        <f t="shared" si="0"/>
        <v>5</v>
      </c>
    </row>
    <row r="22" spans="1:8" s="17" customFormat="1" ht="19.350000000000001" customHeight="1">
      <c r="A22" s="8">
        <v>20</v>
      </c>
      <c r="B22" s="124" t="s">
        <v>167</v>
      </c>
      <c r="C22" s="51">
        <v>0</v>
      </c>
      <c r="D22" s="51">
        <v>0</v>
      </c>
      <c r="E22" s="51">
        <v>0</v>
      </c>
      <c r="F22" s="51">
        <v>0</v>
      </c>
      <c r="G22" s="164">
        <v>100</v>
      </c>
      <c r="H22" s="165">
        <f t="shared" si="0"/>
        <v>5</v>
      </c>
    </row>
    <row r="23" spans="1:8" s="17" customFormat="1" ht="19.350000000000001" customHeight="1">
      <c r="A23" s="8">
        <v>21</v>
      </c>
      <c r="B23" s="124" t="s">
        <v>168</v>
      </c>
      <c r="C23" s="51">
        <v>0</v>
      </c>
      <c r="D23" s="51">
        <v>0</v>
      </c>
      <c r="E23" s="51">
        <v>0</v>
      </c>
      <c r="F23" s="51">
        <v>0</v>
      </c>
      <c r="G23" s="164">
        <v>100</v>
      </c>
      <c r="H23" s="165">
        <f t="shared" si="0"/>
        <v>5</v>
      </c>
    </row>
    <row r="24" spans="1:8" s="17" customFormat="1" ht="19.350000000000001" customHeight="1">
      <c r="A24" s="8">
        <v>22</v>
      </c>
      <c r="B24" s="124" t="s">
        <v>169</v>
      </c>
      <c r="C24" s="51">
        <v>0</v>
      </c>
      <c r="D24" s="51">
        <v>0</v>
      </c>
      <c r="E24" s="51">
        <v>0</v>
      </c>
      <c r="F24" s="51">
        <v>0</v>
      </c>
      <c r="G24" s="164">
        <v>100</v>
      </c>
      <c r="H24" s="165">
        <f t="shared" si="0"/>
        <v>5</v>
      </c>
    </row>
    <row r="25" spans="1:8" s="17" customFormat="1" ht="19.350000000000001" customHeight="1">
      <c r="A25" s="8">
        <v>23</v>
      </c>
      <c r="B25" s="124" t="s">
        <v>170</v>
      </c>
      <c r="C25" s="51">
        <v>0</v>
      </c>
      <c r="D25" s="51">
        <v>0</v>
      </c>
      <c r="E25" s="51">
        <v>0</v>
      </c>
      <c r="F25" s="51">
        <v>0</v>
      </c>
      <c r="G25" s="164">
        <v>100</v>
      </c>
      <c r="H25" s="165">
        <f t="shared" si="0"/>
        <v>5</v>
      </c>
    </row>
    <row r="26" spans="1:8" s="17" customFormat="1" ht="19.350000000000001" customHeight="1">
      <c r="A26" s="8">
        <v>24</v>
      </c>
      <c r="B26" s="124" t="s">
        <v>171</v>
      </c>
      <c r="C26" s="51">
        <v>0</v>
      </c>
      <c r="D26" s="51">
        <v>0</v>
      </c>
      <c r="E26" s="51">
        <v>0</v>
      </c>
      <c r="F26" s="51">
        <v>0</v>
      </c>
      <c r="G26" s="164">
        <v>100</v>
      </c>
      <c r="H26" s="165">
        <f t="shared" si="0"/>
        <v>5</v>
      </c>
    </row>
    <row r="27" spans="1:8" s="17" customFormat="1" ht="19.350000000000001" customHeight="1">
      <c r="A27" s="8">
        <v>25</v>
      </c>
      <c r="B27" s="124" t="s">
        <v>172</v>
      </c>
      <c r="C27" s="51">
        <v>0</v>
      </c>
      <c r="D27" s="51">
        <v>0</v>
      </c>
      <c r="E27" s="51">
        <v>0</v>
      </c>
      <c r="F27" s="51">
        <v>0</v>
      </c>
      <c r="G27" s="164">
        <v>100</v>
      </c>
      <c r="H27" s="165">
        <f t="shared" si="0"/>
        <v>5</v>
      </c>
    </row>
    <row r="28" spans="1:8" s="17" customFormat="1" ht="19.350000000000001" customHeight="1">
      <c r="A28" s="8">
        <v>26</v>
      </c>
      <c r="B28" s="124" t="s">
        <v>173</v>
      </c>
      <c r="C28" s="51">
        <v>0</v>
      </c>
      <c r="D28" s="51">
        <v>0</v>
      </c>
      <c r="E28" s="51">
        <v>0</v>
      </c>
      <c r="F28" s="51">
        <v>0</v>
      </c>
      <c r="G28" s="164">
        <v>100</v>
      </c>
      <c r="H28" s="165">
        <f t="shared" si="0"/>
        <v>5</v>
      </c>
    </row>
    <row r="29" spans="1:8" s="17" customFormat="1" ht="19.350000000000001" customHeight="1">
      <c r="A29" s="8">
        <v>27</v>
      </c>
      <c r="B29" s="124" t="s">
        <v>174</v>
      </c>
      <c r="C29" s="51">
        <v>0</v>
      </c>
      <c r="D29" s="51">
        <v>0</v>
      </c>
      <c r="E29" s="51">
        <v>0</v>
      </c>
      <c r="F29" s="51">
        <v>0</v>
      </c>
      <c r="G29" s="164">
        <v>100</v>
      </c>
      <c r="H29" s="165">
        <f t="shared" si="0"/>
        <v>5</v>
      </c>
    </row>
    <row r="30" spans="1:8" s="17" customFormat="1" ht="19.350000000000001" customHeight="1">
      <c r="A30" s="8">
        <v>28</v>
      </c>
      <c r="B30" s="124" t="s">
        <v>175</v>
      </c>
      <c r="C30" s="51">
        <v>0</v>
      </c>
      <c r="D30" s="51">
        <v>0</v>
      </c>
      <c r="E30" s="51">
        <v>0</v>
      </c>
      <c r="F30" s="51">
        <v>0</v>
      </c>
      <c r="G30" s="164">
        <v>100</v>
      </c>
      <c r="H30" s="165">
        <f t="shared" si="0"/>
        <v>5</v>
      </c>
    </row>
    <row r="31" spans="1:8" s="17" customFormat="1" ht="19.350000000000001" customHeight="1">
      <c r="A31" s="8">
        <v>29</v>
      </c>
      <c r="B31" s="124" t="s">
        <v>176</v>
      </c>
      <c r="C31" s="51">
        <v>0</v>
      </c>
      <c r="D31" s="51">
        <v>0</v>
      </c>
      <c r="E31" s="51">
        <v>0</v>
      </c>
      <c r="F31" s="51">
        <v>0</v>
      </c>
      <c r="G31" s="164">
        <v>100</v>
      </c>
      <c r="H31" s="165">
        <f t="shared" si="0"/>
        <v>5</v>
      </c>
    </row>
    <row r="32" spans="1:8" s="17" customFormat="1" ht="19.350000000000001" customHeight="1">
      <c r="A32" s="8">
        <v>30</v>
      </c>
      <c r="B32" s="124" t="s">
        <v>177</v>
      </c>
      <c r="C32" s="51">
        <v>0</v>
      </c>
      <c r="D32" s="51">
        <v>0</v>
      </c>
      <c r="E32" s="51">
        <v>0</v>
      </c>
      <c r="F32" s="51">
        <v>0</v>
      </c>
      <c r="G32" s="164">
        <v>100</v>
      </c>
      <c r="H32" s="165">
        <f t="shared" si="0"/>
        <v>5</v>
      </c>
    </row>
    <row r="33" spans="1:8" s="17" customFormat="1" ht="19.350000000000001" customHeight="1">
      <c r="A33" s="8">
        <v>31</v>
      </c>
      <c r="B33" s="124" t="s">
        <v>178</v>
      </c>
      <c r="C33" s="51">
        <v>0</v>
      </c>
      <c r="D33" s="51">
        <v>0</v>
      </c>
      <c r="E33" s="51">
        <v>0</v>
      </c>
      <c r="F33" s="51">
        <v>0</v>
      </c>
      <c r="G33" s="164">
        <v>100</v>
      </c>
      <c r="H33" s="165">
        <f t="shared" si="0"/>
        <v>5</v>
      </c>
    </row>
    <row r="34" spans="1:8" s="17" customFormat="1" ht="19.350000000000001" customHeight="1">
      <c r="A34" s="8">
        <v>32</v>
      </c>
      <c r="B34" s="124" t="s">
        <v>179</v>
      </c>
      <c r="C34" s="51">
        <v>0</v>
      </c>
      <c r="D34" s="51">
        <v>0</v>
      </c>
      <c r="E34" s="51">
        <v>0</v>
      </c>
      <c r="F34" s="51">
        <v>0</v>
      </c>
      <c r="G34" s="164">
        <v>100</v>
      </c>
      <c r="H34" s="165">
        <f t="shared" si="0"/>
        <v>5</v>
      </c>
    </row>
    <row r="35" spans="1:8" s="17" customFormat="1" ht="19.350000000000001" customHeight="1">
      <c r="A35" s="8">
        <v>33</v>
      </c>
      <c r="B35" s="124" t="s">
        <v>180</v>
      </c>
      <c r="C35" s="51">
        <v>0</v>
      </c>
      <c r="D35" s="51">
        <v>0</v>
      </c>
      <c r="E35" s="51">
        <v>0</v>
      </c>
      <c r="F35" s="51">
        <v>0</v>
      </c>
      <c r="G35" s="164">
        <v>100</v>
      </c>
      <c r="H35" s="165">
        <f t="shared" si="0"/>
        <v>5</v>
      </c>
    </row>
    <row r="36" spans="1:8" s="17" customFormat="1" ht="25.35" customHeight="1">
      <c r="G36" s="52"/>
    </row>
    <row r="37" spans="1:8" s="17" customFormat="1" ht="25.35" customHeight="1">
      <c r="G37" s="52"/>
    </row>
    <row r="38" spans="1:8" s="17" customFormat="1" ht="25.35" customHeight="1">
      <c r="G38" s="52"/>
    </row>
    <row r="39" spans="1:8" s="17" customFormat="1" ht="25.35" customHeight="1">
      <c r="G39" s="52"/>
    </row>
    <row r="40" spans="1:8" s="17" customFormat="1" ht="25.35" customHeight="1">
      <c r="G40" s="52"/>
    </row>
    <row r="41" spans="1:8" s="17" customFormat="1" ht="25.35" customHeight="1">
      <c r="G41" s="52"/>
    </row>
    <row r="42" spans="1:8" s="17" customFormat="1" ht="25.35" customHeight="1">
      <c r="G42" s="52"/>
    </row>
    <row r="43" spans="1:8" s="17" customFormat="1" ht="25.35" customHeight="1">
      <c r="G43" s="52"/>
    </row>
    <row r="44" spans="1:8" s="17" customFormat="1" ht="25.35" customHeight="1">
      <c r="G44" s="52"/>
    </row>
    <row r="45" spans="1:8" s="17" customFormat="1" ht="25.35" customHeight="1">
      <c r="G45" s="52"/>
    </row>
    <row r="46" spans="1:8" s="17" customFormat="1" ht="25.35" customHeight="1">
      <c r="G46" s="52"/>
    </row>
    <row r="47" spans="1:8" s="17" customFormat="1" ht="25.35" customHeight="1">
      <c r="G47" s="52"/>
    </row>
    <row r="48" spans="1:8" s="17" customFormat="1" ht="25.35" customHeight="1">
      <c r="G48" s="52"/>
    </row>
    <row r="49" spans="7:7" s="17" customFormat="1" ht="25.35" customHeight="1">
      <c r="G49" s="52"/>
    </row>
    <row r="50" spans="7:7" s="17" customFormat="1" ht="25.35" customHeight="1">
      <c r="G50" s="52"/>
    </row>
    <row r="51" spans="7:7" s="17" customFormat="1" ht="25.35" customHeight="1">
      <c r="G51" s="52"/>
    </row>
    <row r="52" spans="7:7" s="17" customFormat="1" ht="25.35" customHeight="1">
      <c r="G52" s="52"/>
    </row>
    <row r="53" spans="7:7" s="17" customFormat="1" ht="25.35" customHeight="1">
      <c r="G53" s="52"/>
    </row>
    <row r="54" spans="7:7" s="17" customFormat="1" ht="25.35" customHeight="1">
      <c r="G54" s="52"/>
    </row>
  </sheetData>
  <mergeCells count="1">
    <mergeCell ref="A1:H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07F9-A17C-4753-8B71-A3442A2ED730}">
  <sheetPr codeName="Sheet24">
    <tabColor rgb="FF002060"/>
    <pageSetUpPr fitToPage="1"/>
  </sheetPr>
  <dimension ref="A1:H36"/>
  <sheetViews>
    <sheetView zoomScale="145" zoomScaleNormal="145" workbookViewId="0">
      <pane ySplit="2" topLeftCell="A30" activePane="bottomLeft" state="frozen"/>
      <selection activeCell="L65" sqref="L65"/>
      <selection pane="bottomLeft" activeCell="K6" sqref="K6"/>
    </sheetView>
  </sheetViews>
  <sheetFormatPr defaultRowHeight="14.4"/>
  <cols>
    <col min="1" max="1" width="5.44140625" bestFit="1" customWidth="1"/>
    <col min="2" max="2" width="22.5546875" customWidth="1"/>
    <col min="3" max="3" width="12" style="12" customWidth="1"/>
    <col min="4" max="4" width="12.44140625" style="12" customWidth="1"/>
    <col min="5" max="5" width="9.44140625" style="12" bestFit="1" customWidth="1"/>
    <col min="6" max="6" width="11" bestFit="1" customWidth="1"/>
  </cols>
  <sheetData>
    <row r="1" spans="1:8" ht="27.6" customHeight="1">
      <c r="A1" s="211" t="s">
        <v>59</v>
      </c>
      <c r="B1" s="211"/>
      <c r="C1" s="211"/>
      <c r="D1" s="211"/>
      <c r="E1" s="211"/>
      <c r="F1" s="211"/>
      <c r="G1" s="211"/>
      <c r="H1" s="211"/>
    </row>
    <row r="2" spans="1:8" ht="46.8">
      <c r="A2" s="54" t="s">
        <v>12</v>
      </c>
      <c r="B2" s="55" t="s">
        <v>1</v>
      </c>
      <c r="C2" s="56" t="s">
        <v>54</v>
      </c>
      <c r="D2" s="56" t="s">
        <v>55</v>
      </c>
      <c r="E2" s="56" t="s">
        <v>56</v>
      </c>
      <c r="F2" s="56" t="s">
        <v>57</v>
      </c>
      <c r="G2" s="57" t="s">
        <v>6</v>
      </c>
      <c r="H2" s="56" t="s">
        <v>7</v>
      </c>
    </row>
    <row r="3" spans="1:8" ht="20.100000000000001" customHeight="1">
      <c r="A3" s="58">
        <v>1</v>
      </c>
      <c r="B3" s="124" t="s">
        <v>148</v>
      </c>
      <c r="C3" s="16">
        <v>5</v>
      </c>
      <c r="D3" s="16">
        <v>5</v>
      </c>
      <c r="E3" s="165">
        <f>C3-D3</f>
        <v>0</v>
      </c>
      <c r="F3" s="166">
        <f>IF(C3=0,0,(E3*100/C3))</f>
        <v>0</v>
      </c>
      <c r="G3" s="150">
        <f>100-F3</f>
        <v>100</v>
      </c>
      <c r="H3" s="159">
        <f>G3*5%</f>
        <v>5</v>
      </c>
    </row>
    <row r="4" spans="1:8" ht="20.100000000000001" customHeight="1">
      <c r="A4" s="58">
        <v>2</v>
      </c>
      <c r="B4" s="124" t="s">
        <v>149</v>
      </c>
      <c r="C4" s="16">
        <v>36</v>
      </c>
      <c r="D4" s="16">
        <v>36</v>
      </c>
      <c r="E4" s="165">
        <f t="shared" ref="E4:E35" si="0">C4-D4</f>
        <v>0</v>
      </c>
      <c r="F4" s="166">
        <f t="shared" ref="F4:F35" si="1">IF(C4=0,0,(E4*100/C4))</f>
        <v>0</v>
      </c>
      <c r="G4" s="150">
        <f t="shared" ref="G4:G35" si="2">100-F4</f>
        <v>100</v>
      </c>
      <c r="H4" s="159">
        <f t="shared" ref="H4:H35" si="3">G4*5%</f>
        <v>5</v>
      </c>
    </row>
    <row r="5" spans="1:8" ht="20.100000000000001" customHeight="1">
      <c r="A5" s="58">
        <v>3</v>
      </c>
      <c r="B5" s="124" t="s">
        <v>150</v>
      </c>
      <c r="C5" s="16">
        <v>72</v>
      </c>
      <c r="D5" s="16">
        <v>72</v>
      </c>
      <c r="E5" s="165">
        <f t="shared" si="0"/>
        <v>0</v>
      </c>
      <c r="F5" s="166">
        <f t="shared" si="1"/>
        <v>0</v>
      </c>
      <c r="G5" s="150">
        <f t="shared" si="2"/>
        <v>100</v>
      </c>
      <c r="H5" s="159">
        <f t="shared" si="3"/>
        <v>5</v>
      </c>
    </row>
    <row r="6" spans="1:8" ht="20.100000000000001" customHeight="1">
      <c r="A6" s="58">
        <v>4</v>
      </c>
      <c r="B6" s="124" t="s">
        <v>151</v>
      </c>
      <c r="C6" s="16">
        <v>1</v>
      </c>
      <c r="D6" s="16">
        <v>1</v>
      </c>
      <c r="E6" s="165">
        <f t="shared" si="0"/>
        <v>0</v>
      </c>
      <c r="F6" s="166">
        <f t="shared" si="1"/>
        <v>0</v>
      </c>
      <c r="G6" s="150">
        <f t="shared" si="2"/>
        <v>100</v>
      </c>
      <c r="H6" s="159">
        <f t="shared" si="3"/>
        <v>5</v>
      </c>
    </row>
    <row r="7" spans="1:8" ht="20.100000000000001" customHeight="1">
      <c r="A7" s="58">
        <v>5</v>
      </c>
      <c r="B7" s="124" t="s">
        <v>152</v>
      </c>
      <c r="C7" s="16">
        <v>17</v>
      </c>
      <c r="D7" s="16">
        <v>17</v>
      </c>
      <c r="E7" s="165">
        <f t="shared" si="0"/>
        <v>0</v>
      </c>
      <c r="F7" s="166">
        <f t="shared" si="1"/>
        <v>0</v>
      </c>
      <c r="G7" s="150">
        <f t="shared" si="2"/>
        <v>100</v>
      </c>
      <c r="H7" s="159">
        <f t="shared" si="3"/>
        <v>5</v>
      </c>
    </row>
    <row r="8" spans="1:8" ht="20.100000000000001" customHeight="1">
      <c r="A8" s="58">
        <v>6</v>
      </c>
      <c r="B8" s="124" t="s">
        <v>153</v>
      </c>
      <c r="C8" s="16">
        <v>4</v>
      </c>
      <c r="D8" s="16">
        <v>4</v>
      </c>
      <c r="E8" s="165">
        <f t="shared" si="0"/>
        <v>0</v>
      </c>
      <c r="F8" s="166">
        <f t="shared" si="1"/>
        <v>0</v>
      </c>
      <c r="G8" s="150">
        <f t="shared" si="2"/>
        <v>100</v>
      </c>
      <c r="H8" s="159">
        <f t="shared" si="3"/>
        <v>5</v>
      </c>
    </row>
    <row r="9" spans="1:8" ht="20.100000000000001" customHeight="1">
      <c r="A9" s="58">
        <v>7</v>
      </c>
      <c r="B9" s="124" t="s">
        <v>154</v>
      </c>
      <c r="C9" s="16">
        <v>18</v>
      </c>
      <c r="D9" s="16">
        <v>18</v>
      </c>
      <c r="E9" s="165">
        <f t="shared" si="0"/>
        <v>0</v>
      </c>
      <c r="F9" s="166">
        <f t="shared" si="1"/>
        <v>0</v>
      </c>
      <c r="G9" s="150">
        <f t="shared" si="2"/>
        <v>100</v>
      </c>
      <c r="H9" s="159">
        <f t="shared" si="3"/>
        <v>5</v>
      </c>
    </row>
    <row r="10" spans="1:8" ht="20.100000000000001" customHeight="1">
      <c r="A10" s="58">
        <v>8</v>
      </c>
      <c r="B10" s="124" t="s">
        <v>155</v>
      </c>
      <c r="C10" s="16">
        <v>12</v>
      </c>
      <c r="D10" s="16">
        <v>12</v>
      </c>
      <c r="E10" s="165">
        <f t="shared" si="0"/>
        <v>0</v>
      </c>
      <c r="F10" s="166">
        <f t="shared" si="1"/>
        <v>0</v>
      </c>
      <c r="G10" s="150">
        <f t="shared" si="2"/>
        <v>100</v>
      </c>
      <c r="H10" s="159">
        <f t="shared" si="3"/>
        <v>5</v>
      </c>
    </row>
    <row r="11" spans="1:8" ht="20.100000000000001" customHeight="1">
      <c r="A11" s="58">
        <v>9</v>
      </c>
      <c r="B11" s="124" t="s">
        <v>156</v>
      </c>
      <c r="C11" s="16">
        <v>3</v>
      </c>
      <c r="D11" s="16">
        <v>3</v>
      </c>
      <c r="E11" s="165">
        <f t="shared" si="0"/>
        <v>0</v>
      </c>
      <c r="F11" s="166">
        <f t="shared" si="1"/>
        <v>0</v>
      </c>
      <c r="G11" s="150">
        <f t="shared" si="2"/>
        <v>100</v>
      </c>
      <c r="H11" s="159">
        <f t="shared" si="3"/>
        <v>5</v>
      </c>
    </row>
    <row r="12" spans="1:8" ht="20.100000000000001" customHeight="1">
      <c r="A12" s="58">
        <v>10</v>
      </c>
      <c r="B12" s="124" t="s">
        <v>157</v>
      </c>
      <c r="C12" s="16">
        <v>6</v>
      </c>
      <c r="D12" s="16">
        <v>6</v>
      </c>
      <c r="E12" s="165">
        <f t="shared" si="0"/>
        <v>0</v>
      </c>
      <c r="F12" s="166">
        <f t="shared" si="1"/>
        <v>0</v>
      </c>
      <c r="G12" s="150">
        <f t="shared" si="2"/>
        <v>100</v>
      </c>
      <c r="H12" s="159">
        <f t="shared" si="3"/>
        <v>5</v>
      </c>
    </row>
    <row r="13" spans="1:8" ht="20.100000000000001" customHeight="1">
      <c r="A13" s="58">
        <v>11</v>
      </c>
      <c r="B13" s="124" t="s">
        <v>158</v>
      </c>
      <c r="C13" s="16">
        <v>7</v>
      </c>
      <c r="D13" s="16">
        <v>7</v>
      </c>
      <c r="E13" s="165">
        <f t="shared" si="0"/>
        <v>0</v>
      </c>
      <c r="F13" s="166">
        <f t="shared" si="1"/>
        <v>0</v>
      </c>
      <c r="G13" s="150">
        <f t="shared" si="2"/>
        <v>100</v>
      </c>
      <c r="H13" s="159">
        <f t="shared" si="3"/>
        <v>5</v>
      </c>
    </row>
    <row r="14" spans="1:8" ht="20.100000000000001" customHeight="1">
      <c r="A14" s="58">
        <v>12</v>
      </c>
      <c r="B14" s="124" t="s">
        <v>159</v>
      </c>
      <c r="C14" s="16">
        <v>3</v>
      </c>
      <c r="D14" s="16">
        <v>3</v>
      </c>
      <c r="E14" s="165">
        <f t="shared" si="0"/>
        <v>0</v>
      </c>
      <c r="F14" s="166">
        <f t="shared" si="1"/>
        <v>0</v>
      </c>
      <c r="G14" s="150">
        <f t="shared" si="2"/>
        <v>100</v>
      </c>
      <c r="H14" s="159">
        <f t="shared" si="3"/>
        <v>5</v>
      </c>
    </row>
    <row r="15" spans="1:8" ht="20.100000000000001" customHeight="1">
      <c r="A15" s="58">
        <v>13</v>
      </c>
      <c r="B15" s="124" t="s">
        <v>160</v>
      </c>
      <c r="C15" s="16">
        <v>16</v>
      </c>
      <c r="D15" s="16">
        <v>16</v>
      </c>
      <c r="E15" s="165">
        <f t="shared" si="0"/>
        <v>0</v>
      </c>
      <c r="F15" s="166">
        <f t="shared" si="1"/>
        <v>0</v>
      </c>
      <c r="G15" s="150">
        <f t="shared" si="2"/>
        <v>100</v>
      </c>
      <c r="H15" s="159">
        <f t="shared" si="3"/>
        <v>5</v>
      </c>
    </row>
    <row r="16" spans="1:8" ht="20.100000000000001" customHeight="1">
      <c r="A16" s="58">
        <v>14</v>
      </c>
      <c r="B16" s="124" t="s">
        <v>161</v>
      </c>
      <c r="C16" s="16">
        <v>6</v>
      </c>
      <c r="D16" s="16">
        <v>6</v>
      </c>
      <c r="E16" s="165">
        <f t="shared" si="0"/>
        <v>0</v>
      </c>
      <c r="F16" s="166">
        <f t="shared" si="1"/>
        <v>0</v>
      </c>
      <c r="G16" s="150">
        <f t="shared" si="2"/>
        <v>100</v>
      </c>
      <c r="H16" s="159">
        <f t="shared" si="3"/>
        <v>5</v>
      </c>
    </row>
    <row r="17" spans="1:8" ht="20.100000000000001" customHeight="1">
      <c r="A17" s="58">
        <v>15</v>
      </c>
      <c r="B17" s="124" t="s">
        <v>162</v>
      </c>
      <c r="C17" s="16">
        <v>4</v>
      </c>
      <c r="D17" s="16">
        <v>4</v>
      </c>
      <c r="E17" s="165">
        <f t="shared" si="0"/>
        <v>0</v>
      </c>
      <c r="F17" s="166">
        <f t="shared" si="1"/>
        <v>0</v>
      </c>
      <c r="G17" s="150">
        <f t="shared" si="2"/>
        <v>100</v>
      </c>
      <c r="H17" s="159">
        <f t="shared" si="3"/>
        <v>5</v>
      </c>
    </row>
    <row r="18" spans="1:8" ht="20.100000000000001" customHeight="1">
      <c r="A18" s="58">
        <v>16</v>
      </c>
      <c r="B18" s="124" t="s">
        <v>163</v>
      </c>
      <c r="C18" s="16">
        <v>4</v>
      </c>
      <c r="D18" s="16">
        <v>4</v>
      </c>
      <c r="E18" s="165">
        <f t="shared" si="0"/>
        <v>0</v>
      </c>
      <c r="F18" s="166">
        <f t="shared" si="1"/>
        <v>0</v>
      </c>
      <c r="G18" s="150">
        <f t="shared" si="2"/>
        <v>100</v>
      </c>
      <c r="H18" s="159">
        <f t="shared" si="3"/>
        <v>5</v>
      </c>
    </row>
    <row r="19" spans="1:8" ht="20.100000000000001" customHeight="1">
      <c r="A19" s="58">
        <v>17</v>
      </c>
      <c r="B19" s="124" t="s">
        <v>164</v>
      </c>
      <c r="C19" s="16">
        <v>9</v>
      </c>
      <c r="D19" s="16">
        <v>9</v>
      </c>
      <c r="E19" s="165">
        <f t="shared" si="0"/>
        <v>0</v>
      </c>
      <c r="F19" s="166">
        <f t="shared" si="1"/>
        <v>0</v>
      </c>
      <c r="G19" s="150">
        <f t="shared" si="2"/>
        <v>100</v>
      </c>
      <c r="H19" s="159">
        <f t="shared" si="3"/>
        <v>5</v>
      </c>
    </row>
    <row r="20" spans="1:8" ht="20.100000000000001" customHeight="1">
      <c r="A20" s="58">
        <v>18</v>
      </c>
      <c r="B20" s="124" t="s">
        <v>165</v>
      </c>
      <c r="C20" s="16">
        <v>8</v>
      </c>
      <c r="D20" s="16">
        <v>8</v>
      </c>
      <c r="E20" s="165">
        <f t="shared" si="0"/>
        <v>0</v>
      </c>
      <c r="F20" s="166">
        <f t="shared" si="1"/>
        <v>0</v>
      </c>
      <c r="G20" s="150">
        <f t="shared" si="2"/>
        <v>100</v>
      </c>
      <c r="H20" s="159">
        <f t="shared" si="3"/>
        <v>5</v>
      </c>
    </row>
    <row r="21" spans="1:8" ht="20.100000000000001" customHeight="1">
      <c r="A21" s="58">
        <v>19</v>
      </c>
      <c r="B21" s="124" t="s">
        <v>166</v>
      </c>
      <c r="C21" s="16">
        <v>11</v>
      </c>
      <c r="D21" s="16">
        <v>11</v>
      </c>
      <c r="E21" s="165">
        <f t="shared" si="0"/>
        <v>0</v>
      </c>
      <c r="F21" s="166">
        <f t="shared" si="1"/>
        <v>0</v>
      </c>
      <c r="G21" s="150">
        <f t="shared" si="2"/>
        <v>100</v>
      </c>
      <c r="H21" s="159">
        <f t="shared" si="3"/>
        <v>5</v>
      </c>
    </row>
    <row r="22" spans="1:8" ht="20.100000000000001" customHeight="1">
      <c r="A22" s="58">
        <v>20</v>
      </c>
      <c r="B22" s="124" t="s">
        <v>167</v>
      </c>
      <c r="C22" s="16">
        <v>11</v>
      </c>
      <c r="D22" s="16">
        <v>11</v>
      </c>
      <c r="E22" s="165">
        <f t="shared" si="0"/>
        <v>0</v>
      </c>
      <c r="F22" s="166">
        <f t="shared" si="1"/>
        <v>0</v>
      </c>
      <c r="G22" s="150">
        <f t="shared" si="2"/>
        <v>100</v>
      </c>
      <c r="H22" s="159">
        <f t="shared" si="3"/>
        <v>5</v>
      </c>
    </row>
    <row r="23" spans="1:8" ht="20.100000000000001" customHeight="1">
      <c r="A23" s="58">
        <v>21</v>
      </c>
      <c r="B23" s="124" t="s">
        <v>168</v>
      </c>
      <c r="C23" s="16">
        <v>15</v>
      </c>
      <c r="D23" s="16">
        <v>15</v>
      </c>
      <c r="E23" s="165">
        <f t="shared" si="0"/>
        <v>0</v>
      </c>
      <c r="F23" s="166">
        <f t="shared" si="1"/>
        <v>0</v>
      </c>
      <c r="G23" s="150">
        <f t="shared" si="2"/>
        <v>100</v>
      </c>
      <c r="H23" s="159">
        <f t="shared" si="3"/>
        <v>5</v>
      </c>
    </row>
    <row r="24" spans="1:8" ht="20.100000000000001" customHeight="1">
      <c r="A24" s="58">
        <v>22</v>
      </c>
      <c r="B24" s="124" t="s">
        <v>169</v>
      </c>
      <c r="C24" s="16">
        <v>16</v>
      </c>
      <c r="D24" s="16">
        <v>16</v>
      </c>
      <c r="E24" s="165">
        <f t="shared" si="0"/>
        <v>0</v>
      </c>
      <c r="F24" s="166">
        <f t="shared" si="1"/>
        <v>0</v>
      </c>
      <c r="G24" s="150">
        <f t="shared" si="2"/>
        <v>100</v>
      </c>
      <c r="H24" s="159">
        <f t="shared" si="3"/>
        <v>5</v>
      </c>
    </row>
    <row r="25" spans="1:8" ht="20.100000000000001" customHeight="1">
      <c r="A25" s="58">
        <v>23</v>
      </c>
      <c r="B25" s="124" t="s">
        <v>170</v>
      </c>
      <c r="C25" s="16">
        <v>41</v>
      </c>
      <c r="D25" s="16">
        <v>41</v>
      </c>
      <c r="E25" s="165">
        <f t="shared" si="0"/>
        <v>0</v>
      </c>
      <c r="F25" s="166">
        <f t="shared" si="1"/>
        <v>0</v>
      </c>
      <c r="G25" s="150">
        <f t="shared" si="2"/>
        <v>100</v>
      </c>
      <c r="H25" s="159">
        <f t="shared" si="3"/>
        <v>5</v>
      </c>
    </row>
    <row r="26" spans="1:8" ht="20.100000000000001" customHeight="1">
      <c r="A26" s="58">
        <v>24</v>
      </c>
      <c r="B26" s="124" t="s">
        <v>171</v>
      </c>
      <c r="C26" s="16">
        <v>12</v>
      </c>
      <c r="D26" s="16">
        <v>12</v>
      </c>
      <c r="E26" s="165">
        <f t="shared" si="0"/>
        <v>0</v>
      </c>
      <c r="F26" s="166">
        <f t="shared" si="1"/>
        <v>0</v>
      </c>
      <c r="G26" s="150">
        <f t="shared" si="2"/>
        <v>100</v>
      </c>
      <c r="H26" s="159">
        <f t="shared" si="3"/>
        <v>5</v>
      </c>
    </row>
    <row r="27" spans="1:8" ht="20.100000000000001" customHeight="1">
      <c r="A27" s="58">
        <v>25</v>
      </c>
      <c r="B27" s="124" t="s">
        <v>172</v>
      </c>
      <c r="C27" s="16">
        <v>23</v>
      </c>
      <c r="D27" s="16">
        <v>23</v>
      </c>
      <c r="E27" s="165">
        <f t="shared" si="0"/>
        <v>0</v>
      </c>
      <c r="F27" s="166">
        <f t="shared" si="1"/>
        <v>0</v>
      </c>
      <c r="G27" s="150">
        <f t="shared" si="2"/>
        <v>100</v>
      </c>
      <c r="H27" s="159">
        <f t="shared" si="3"/>
        <v>5</v>
      </c>
    </row>
    <row r="28" spans="1:8" ht="20.100000000000001" customHeight="1">
      <c r="A28" s="58">
        <v>26</v>
      </c>
      <c r="B28" s="124" t="s">
        <v>173</v>
      </c>
      <c r="C28" s="16">
        <v>7</v>
      </c>
      <c r="D28" s="16">
        <v>7</v>
      </c>
      <c r="E28" s="165">
        <f t="shared" si="0"/>
        <v>0</v>
      </c>
      <c r="F28" s="166">
        <f t="shared" si="1"/>
        <v>0</v>
      </c>
      <c r="G28" s="150">
        <f t="shared" si="2"/>
        <v>100</v>
      </c>
      <c r="H28" s="159">
        <f t="shared" si="3"/>
        <v>5</v>
      </c>
    </row>
    <row r="29" spans="1:8" ht="20.100000000000001" customHeight="1">
      <c r="A29" s="58">
        <v>27</v>
      </c>
      <c r="B29" s="124" t="s">
        <v>174</v>
      </c>
      <c r="C29" s="16">
        <v>8</v>
      </c>
      <c r="D29" s="16">
        <v>8</v>
      </c>
      <c r="E29" s="165">
        <f t="shared" si="0"/>
        <v>0</v>
      </c>
      <c r="F29" s="166">
        <f t="shared" si="1"/>
        <v>0</v>
      </c>
      <c r="G29" s="150">
        <f t="shared" si="2"/>
        <v>100</v>
      </c>
      <c r="H29" s="159">
        <f t="shared" si="3"/>
        <v>5</v>
      </c>
    </row>
    <row r="30" spans="1:8" ht="20.100000000000001" customHeight="1">
      <c r="A30" s="58">
        <v>28</v>
      </c>
      <c r="B30" s="124" t="s">
        <v>175</v>
      </c>
      <c r="C30" s="16">
        <v>19</v>
      </c>
      <c r="D30" s="16">
        <v>19</v>
      </c>
      <c r="E30" s="165">
        <f t="shared" si="0"/>
        <v>0</v>
      </c>
      <c r="F30" s="166">
        <f t="shared" si="1"/>
        <v>0</v>
      </c>
      <c r="G30" s="150">
        <f t="shared" si="2"/>
        <v>100</v>
      </c>
      <c r="H30" s="159">
        <f t="shared" si="3"/>
        <v>5</v>
      </c>
    </row>
    <row r="31" spans="1:8" ht="20.100000000000001" customHeight="1">
      <c r="A31" s="58">
        <v>29</v>
      </c>
      <c r="B31" s="124" t="s">
        <v>176</v>
      </c>
      <c r="C31" s="16">
        <v>22</v>
      </c>
      <c r="D31" s="16">
        <v>22</v>
      </c>
      <c r="E31" s="165">
        <f t="shared" si="0"/>
        <v>0</v>
      </c>
      <c r="F31" s="166">
        <f t="shared" si="1"/>
        <v>0</v>
      </c>
      <c r="G31" s="150">
        <f t="shared" si="2"/>
        <v>100</v>
      </c>
      <c r="H31" s="159">
        <f t="shared" si="3"/>
        <v>5</v>
      </c>
    </row>
    <row r="32" spans="1:8" ht="20.100000000000001" customHeight="1">
      <c r="A32" s="58">
        <v>30</v>
      </c>
      <c r="B32" s="124" t="s">
        <v>177</v>
      </c>
      <c r="C32" s="16">
        <v>1</v>
      </c>
      <c r="D32" s="16">
        <v>1</v>
      </c>
      <c r="E32" s="165">
        <f t="shared" si="0"/>
        <v>0</v>
      </c>
      <c r="F32" s="166">
        <f t="shared" si="1"/>
        <v>0</v>
      </c>
      <c r="G32" s="150">
        <f t="shared" si="2"/>
        <v>100</v>
      </c>
      <c r="H32" s="159">
        <f t="shared" si="3"/>
        <v>5</v>
      </c>
    </row>
    <row r="33" spans="1:8" ht="20.100000000000001" customHeight="1">
      <c r="A33" s="58">
        <v>31</v>
      </c>
      <c r="B33" s="124" t="s">
        <v>178</v>
      </c>
      <c r="C33" s="16">
        <v>9</v>
      </c>
      <c r="D33" s="16">
        <v>9</v>
      </c>
      <c r="E33" s="165">
        <f t="shared" si="0"/>
        <v>0</v>
      </c>
      <c r="F33" s="166">
        <f t="shared" si="1"/>
        <v>0</v>
      </c>
      <c r="G33" s="150">
        <f t="shared" si="2"/>
        <v>100</v>
      </c>
      <c r="H33" s="159">
        <f t="shared" si="3"/>
        <v>5</v>
      </c>
    </row>
    <row r="34" spans="1:8" ht="20.100000000000001" customHeight="1">
      <c r="A34" s="58">
        <v>32</v>
      </c>
      <c r="B34" s="124" t="s">
        <v>179</v>
      </c>
      <c r="C34" s="16">
        <v>20</v>
      </c>
      <c r="D34" s="16">
        <v>20</v>
      </c>
      <c r="E34" s="165">
        <f t="shared" si="0"/>
        <v>0</v>
      </c>
      <c r="F34" s="166">
        <f t="shared" si="1"/>
        <v>0</v>
      </c>
      <c r="G34" s="150">
        <f t="shared" si="2"/>
        <v>100</v>
      </c>
      <c r="H34" s="159">
        <f t="shared" si="3"/>
        <v>5</v>
      </c>
    </row>
    <row r="35" spans="1:8" ht="20.100000000000001" customHeight="1">
      <c r="A35" s="58">
        <v>33</v>
      </c>
      <c r="B35" s="124" t="s">
        <v>180</v>
      </c>
      <c r="C35" s="16">
        <v>5</v>
      </c>
      <c r="D35" s="16">
        <v>5</v>
      </c>
      <c r="E35" s="165">
        <f t="shared" si="0"/>
        <v>0</v>
      </c>
      <c r="F35" s="166">
        <f t="shared" si="1"/>
        <v>0</v>
      </c>
      <c r="G35" s="150">
        <f t="shared" si="2"/>
        <v>100</v>
      </c>
      <c r="H35" s="159">
        <f t="shared" si="3"/>
        <v>5</v>
      </c>
    </row>
    <row r="36" spans="1:8" ht="20.100000000000001" customHeight="1">
      <c r="A36" s="212" t="s">
        <v>58</v>
      </c>
      <c r="B36" s="212"/>
      <c r="C36" s="59">
        <f>SUM(C3:C35)</f>
        <v>451</v>
      </c>
      <c r="D36" s="59">
        <f>SUM(D3:D35)</f>
        <v>451</v>
      </c>
      <c r="E36" s="167">
        <f>SUM(E3:E35)</f>
        <v>0</v>
      </c>
      <c r="F36" s="168">
        <f>AVERAGE(F3:F35)</f>
        <v>0</v>
      </c>
      <c r="G36" s="168">
        <f>AVERAGE(G3:G35)</f>
        <v>100</v>
      </c>
      <c r="H36" s="168">
        <f>AVERAGE(H3:H35)</f>
        <v>5</v>
      </c>
    </row>
  </sheetData>
  <mergeCells count="2">
    <mergeCell ref="A1:H1"/>
    <mergeCell ref="A36:B36"/>
  </mergeCells>
  <conditionalFormatting sqref="G3:G35">
    <cfRule type="cellIs" dxfId="0" priority="1" operator="lessThan">
      <formula>100</formula>
    </cfRule>
  </conditionalFormatting>
  <hyperlinks>
    <hyperlink ref="A2" r:id="rId1" display="http://s.no/" xr:uid="{2E513098-4E5F-4BF0-8345-12E0A0F40FFC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93" orientation="portrait" horizontalDpi="200" verticalDpi="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15D1-0E05-4DB9-AE40-D1FA1275C8F0}">
  <sheetPr codeName="Sheet33">
    <tabColor theme="7" tint="0.59999389629810485"/>
  </sheetPr>
  <dimension ref="A1:H41"/>
  <sheetViews>
    <sheetView zoomScale="130" zoomScaleNormal="130" workbookViewId="0">
      <pane ySplit="3" topLeftCell="A4" activePane="bottomLeft" state="frozen"/>
      <selection pane="bottomLeft" activeCell="K3" sqref="K3"/>
    </sheetView>
  </sheetViews>
  <sheetFormatPr defaultColWidth="9.109375" defaultRowHeight="14.4"/>
  <cols>
    <col min="1" max="1" width="5.44140625" customWidth="1"/>
    <col min="2" max="2" width="20.109375" customWidth="1"/>
    <col min="3" max="3" width="9" customWidth="1"/>
    <col min="4" max="4" width="10.44140625" bestFit="1" customWidth="1"/>
    <col min="5" max="5" width="9.5546875" customWidth="1"/>
    <col min="6" max="6" width="10.5546875" style="13" customWidth="1"/>
    <col min="7" max="7" width="14.88671875" customWidth="1"/>
    <col min="8" max="8" width="9.109375" style="13"/>
  </cols>
  <sheetData>
    <row r="1" spans="1:8" ht="30" customHeight="1">
      <c r="A1" s="214" t="s">
        <v>257</v>
      </c>
      <c r="B1" s="214"/>
      <c r="C1" s="214"/>
      <c r="D1" s="214"/>
      <c r="E1" s="214"/>
      <c r="F1" s="214"/>
      <c r="G1" s="214"/>
      <c r="H1" s="214"/>
    </row>
    <row r="2" spans="1:8" ht="21.6" customHeight="1">
      <c r="A2" s="215" t="s">
        <v>60</v>
      </c>
      <c r="B2" s="215" t="s">
        <v>61</v>
      </c>
      <c r="C2" s="217" t="s">
        <v>62</v>
      </c>
      <c r="D2" s="218" t="s">
        <v>63</v>
      </c>
      <c r="E2" s="221" t="s">
        <v>64</v>
      </c>
      <c r="F2" s="223" t="s">
        <v>65</v>
      </c>
      <c r="G2" s="219" t="s">
        <v>189</v>
      </c>
      <c r="H2" s="220" t="s">
        <v>7</v>
      </c>
    </row>
    <row r="3" spans="1:8" ht="51.6" customHeight="1">
      <c r="A3" s="216"/>
      <c r="B3" s="216"/>
      <c r="C3" s="217"/>
      <c r="D3" s="218"/>
      <c r="E3" s="222"/>
      <c r="F3" s="224"/>
      <c r="G3" s="219"/>
      <c r="H3" s="220"/>
    </row>
    <row r="4" spans="1:8" ht="27" customHeight="1">
      <c r="A4" s="8">
        <v>1</v>
      </c>
      <c r="B4" s="124" t="s">
        <v>148</v>
      </c>
      <c r="C4" s="60">
        <v>210</v>
      </c>
      <c r="D4" s="61">
        <v>421</v>
      </c>
      <c r="E4" s="39">
        <v>239</v>
      </c>
      <c r="F4" s="62">
        <v>0</v>
      </c>
      <c r="G4" s="168">
        <f>IF((E4*100)/C4&gt;100,100,(E4*100)/C4)</f>
        <v>100</v>
      </c>
      <c r="H4" s="135">
        <f>G4*5%</f>
        <v>5</v>
      </c>
    </row>
    <row r="5" spans="1:8" ht="27" customHeight="1">
      <c r="A5" s="8">
        <v>2</v>
      </c>
      <c r="B5" s="124" t="s">
        <v>149</v>
      </c>
      <c r="C5" s="60">
        <v>544</v>
      </c>
      <c r="D5" s="61">
        <v>469</v>
      </c>
      <c r="E5" s="39">
        <v>232</v>
      </c>
      <c r="F5" s="62">
        <v>312</v>
      </c>
      <c r="G5" s="168">
        <f t="shared" ref="G5:G36" si="0">IF((E5*100)/C5&gt;100,100,(E5*100)/C5)</f>
        <v>42.647058823529413</v>
      </c>
      <c r="H5" s="135">
        <f t="shared" ref="H5:H36" si="1">G5*5%</f>
        <v>2.1323529411764706</v>
      </c>
    </row>
    <row r="6" spans="1:8" ht="27" customHeight="1">
      <c r="A6" s="8">
        <v>3</v>
      </c>
      <c r="B6" s="124" t="s">
        <v>150</v>
      </c>
      <c r="C6" s="60">
        <v>707</v>
      </c>
      <c r="D6" s="61">
        <v>488</v>
      </c>
      <c r="E6" s="39">
        <v>266</v>
      </c>
      <c r="F6" s="62">
        <v>441</v>
      </c>
      <c r="G6" s="168">
        <f t="shared" si="0"/>
        <v>37.623762376237622</v>
      </c>
      <c r="H6" s="135">
        <f t="shared" si="1"/>
        <v>1.8811881188118811</v>
      </c>
    </row>
    <row r="7" spans="1:8" ht="27" customHeight="1">
      <c r="A7" s="8">
        <v>4</v>
      </c>
      <c r="B7" s="124" t="s">
        <v>151</v>
      </c>
      <c r="C7" s="60">
        <v>231</v>
      </c>
      <c r="D7" s="61">
        <v>324</v>
      </c>
      <c r="E7" s="39">
        <v>123</v>
      </c>
      <c r="F7" s="62">
        <v>108</v>
      </c>
      <c r="G7" s="168">
        <f t="shared" si="0"/>
        <v>53.246753246753244</v>
      </c>
      <c r="H7" s="135">
        <f t="shared" si="1"/>
        <v>2.6623376623376624</v>
      </c>
    </row>
    <row r="8" spans="1:8" ht="27" customHeight="1">
      <c r="A8" s="8">
        <v>5</v>
      </c>
      <c r="B8" s="124" t="s">
        <v>152</v>
      </c>
      <c r="C8" s="60">
        <v>571</v>
      </c>
      <c r="D8" s="61">
        <v>356</v>
      </c>
      <c r="E8" s="39">
        <v>298</v>
      </c>
      <c r="F8" s="62">
        <v>273</v>
      </c>
      <c r="G8" s="168">
        <f t="shared" si="0"/>
        <v>52.189141856392297</v>
      </c>
      <c r="H8" s="135">
        <f t="shared" si="1"/>
        <v>2.609457092819615</v>
      </c>
    </row>
    <row r="9" spans="1:8" ht="27" customHeight="1">
      <c r="A9" s="8">
        <v>6</v>
      </c>
      <c r="B9" s="124" t="s">
        <v>153</v>
      </c>
      <c r="C9" s="60">
        <v>340</v>
      </c>
      <c r="D9" s="61">
        <v>366</v>
      </c>
      <c r="E9" s="39">
        <v>333</v>
      </c>
      <c r="F9" s="62">
        <v>7</v>
      </c>
      <c r="G9" s="168">
        <f t="shared" si="0"/>
        <v>97.941176470588232</v>
      </c>
      <c r="H9" s="135">
        <f t="shared" si="1"/>
        <v>4.8970588235294121</v>
      </c>
    </row>
    <row r="10" spans="1:8" ht="27" customHeight="1">
      <c r="A10" s="8">
        <v>7</v>
      </c>
      <c r="B10" s="124" t="s">
        <v>154</v>
      </c>
      <c r="C10" s="60">
        <v>220</v>
      </c>
      <c r="D10" s="61">
        <v>264</v>
      </c>
      <c r="E10" s="39">
        <v>215</v>
      </c>
      <c r="F10" s="62">
        <v>5</v>
      </c>
      <c r="G10" s="168">
        <f t="shared" si="0"/>
        <v>97.727272727272734</v>
      </c>
      <c r="H10" s="135">
        <f t="shared" si="1"/>
        <v>4.8863636363636367</v>
      </c>
    </row>
    <row r="11" spans="1:8" ht="27" customHeight="1">
      <c r="A11" s="8">
        <v>8</v>
      </c>
      <c r="B11" s="124" t="s">
        <v>155</v>
      </c>
      <c r="C11" s="60">
        <v>648</v>
      </c>
      <c r="D11" s="61">
        <v>565</v>
      </c>
      <c r="E11" s="39">
        <v>419</v>
      </c>
      <c r="F11" s="62">
        <v>229</v>
      </c>
      <c r="G11" s="168">
        <f t="shared" si="0"/>
        <v>64.660493827160494</v>
      </c>
      <c r="H11" s="135">
        <f t="shared" si="1"/>
        <v>3.2330246913580249</v>
      </c>
    </row>
    <row r="12" spans="1:8" ht="27" customHeight="1">
      <c r="A12" s="8">
        <v>9</v>
      </c>
      <c r="B12" s="124" t="s">
        <v>156</v>
      </c>
      <c r="C12" s="60">
        <v>354</v>
      </c>
      <c r="D12" s="61">
        <v>357</v>
      </c>
      <c r="E12" s="39">
        <v>302</v>
      </c>
      <c r="F12" s="62">
        <v>52</v>
      </c>
      <c r="G12" s="168">
        <f t="shared" si="0"/>
        <v>85.31073446327683</v>
      </c>
      <c r="H12" s="135">
        <f t="shared" si="1"/>
        <v>4.2655367231638417</v>
      </c>
    </row>
    <row r="13" spans="1:8" ht="27" customHeight="1">
      <c r="A13" s="8">
        <v>10</v>
      </c>
      <c r="B13" s="124" t="s">
        <v>157</v>
      </c>
      <c r="C13" s="60">
        <v>260</v>
      </c>
      <c r="D13" s="61">
        <v>188</v>
      </c>
      <c r="E13" s="39">
        <v>156</v>
      </c>
      <c r="F13" s="62">
        <v>104</v>
      </c>
      <c r="G13" s="168">
        <f t="shared" si="0"/>
        <v>60</v>
      </c>
      <c r="H13" s="135">
        <f t="shared" si="1"/>
        <v>3</v>
      </c>
    </row>
    <row r="14" spans="1:8" ht="27" customHeight="1">
      <c r="A14" s="8">
        <v>11</v>
      </c>
      <c r="B14" s="124" t="s">
        <v>158</v>
      </c>
      <c r="C14" s="60">
        <v>177</v>
      </c>
      <c r="D14" s="61">
        <v>164</v>
      </c>
      <c r="E14" s="39">
        <v>153</v>
      </c>
      <c r="F14" s="62">
        <v>24</v>
      </c>
      <c r="G14" s="168">
        <f t="shared" si="0"/>
        <v>86.440677966101688</v>
      </c>
      <c r="H14" s="135">
        <f t="shared" si="1"/>
        <v>4.3220338983050848</v>
      </c>
    </row>
    <row r="15" spans="1:8" ht="27" customHeight="1">
      <c r="A15" s="8">
        <v>12</v>
      </c>
      <c r="B15" s="124" t="s">
        <v>159</v>
      </c>
      <c r="C15" s="60">
        <v>228</v>
      </c>
      <c r="D15" s="61">
        <v>249</v>
      </c>
      <c r="E15" s="39">
        <v>167</v>
      </c>
      <c r="F15" s="62">
        <v>61</v>
      </c>
      <c r="G15" s="168">
        <f t="shared" si="0"/>
        <v>73.245614035087726</v>
      </c>
      <c r="H15" s="135">
        <f t="shared" si="1"/>
        <v>3.6622807017543866</v>
      </c>
    </row>
    <row r="16" spans="1:8" ht="27" customHeight="1">
      <c r="A16" s="8">
        <v>13</v>
      </c>
      <c r="B16" s="124" t="s">
        <v>160</v>
      </c>
      <c r="C16" s="60">
        <v>650</v>
      </c>
      <c r="D16" s="61">
        <v>493</v>
      </c>
      <c r="E16" s="39">
        <v>403</v>
      </c>
      <c r="F16" s="62">
        <v>247</v>
      </c>
      <c r="G16" s="168">
        <f t="shared" si="0"/>
        <v>62</v>
      </c>
      <c r="H16" s="135">
        <f t="shared" si="1"/>
        <v>3.1</v>
      </c>
    </row>
    <row r="17" spans="1:8" ht="27" customHeight="1">
      <c r="A17" s="8">
        <v>14</v>
      </c>
      <c r="B17" s="124" t="s">
        <v>161</v>
      </c>
      <c r="C17" s="60">
        <v>301</v>
      </c>
      <c r="D17" s="61">
        <v>340</v>
      </c>
      <c r="E17" s="39">
        <v>301</v>
      </c>
      <c r="F17" s="62">
        <v>0</v>
      </c>
      <c r="G17" s="168">
        <f t="shared" si="0"/>
        <v>100</v>
      </c>
      <c r="H17" s="135">
        <f t="shared" si="1"/>
        <v>5</v>
      </c>
    </row>
    <row r="18" spans="1:8" ht="27" customHeight="1">
      <c r="A18" s="8">
        <v>15</v>
      </c>
      <c r="B18" s="124" t="s">
        <v>162</v>
      </c>
      <c r="C18" s="60">
        <v>189</v>
      </c>
      <c r="D18" s="61">
        <v>115</v>
      </c>
      <c r="E18" s="39">
        <v>92</v>
      </c>
      <c r="F18" s="62">
        <v>97</v>
      </c>
      <c r="G18" s="168">
        <f t="shared" si="0"/>
        <v>48.677248677248677</v>
      </c>
      <c r="H18" s="135">
        <f t="shared" si="1"/>
        <v>2.4338624338624339</v>
      </c>
    </row>
    <row r="19" spans="1:8" ht="27" customHeight="1">
      <c r="A19" s="8">
        <v>16</v>
      </c>
      <c r="B19" s="124" t="s">
        <v>163</v>
      </c>
      <c r="C19" s="60">
        <v>139</v>
      </c>
      <c r="D19" s="61">
        <v>170</v>
      </c>
      <c r="E19" s="39">
        <v>46</v>
      </c>
      <c r="F19" s="62">
        <v>93</v>
      </c>
      <c r="G19" s="168">
        <f t="shared" si="0"/>
        <v>33.093525179856115</v>
      </c>
      <c r="H19" s="135">
        <f t="shared" si="1"/>
        <v>1.6546762589928059</v>
      </c>
    </row>
    <row r="20" spans="1:8" ht="27" customHeight="1">
      <c r="A20" s="8">
        <v>17</v>
      </c>
      <c r="B20" s="124" t="s">
        <v>164</v>
      </c>
      <c r="C20" s="60">
        <v>379</v>
      </c>
      <c r="D20" s="61">
        <v>377</v>
      </c>
      <c r="E20" s="39">
        <v>283</v>
      </c>
      <c r="F20" s="62">
        <v>96</v>
      </c>
      <c r="G20" s="168">
        <f t="shared" si="0"/>
        <v>74.670184696569919</v>
      </c>
      <c r="H20" s="135">
        <f t="shared" si="1"/>
        <v>3.7335092348284959</v>
      </c>
    </row>
    <row r="21" spans="1:8" ht="27" customHeight="1">
      <c r="A21" s="8">
        <v>18</v>
      </c>
      <c r="B21" s="124" t="s">
        <v>165</v>
      </c>
      <c r="C21" s="60">
        <v>425</v>
      </c>
      <c r="D21" s="61">
        <v>391</v>
      </c>
      <c r="E21" s="39">
        <v>224</v>
      </c>
      <c r="F21" s="62">
        <v>201</v>
      </c>
      <c r="G21" s="168">
        <f t="shared" si="0"/>
        <v>52.705882352941174</v>
      </c>
      <c r="H21" s="135">
        <f t="shared" si="1"/>
        <v>2.6352941176470588</v>
      </c>
    </row>
    <row r="22" spans="1:8" ht="27" customHeight="1">
      <c r="A22" s="8">
        <v>19</v>
      </c>
      <c r="B22" s="124" t="s">
        <v>166</v>
      </c>
      <c r="C22" s="60">
        <v>543</v>
      </c>
      <c r="D22" s="61">
        <v>699</v>
      </c>
      <c r="E22" s="39">
        <v>483</v>
      </c>
      <c r="F22" s="62">
        <v>60</v>
      </c>
      <c r="G22" s="168">
        <f t="shared" si="0"/>
        <v>88.950276243093924</v>
      </c>
      <c r="H22" s="135">
        <f t="shared" si="1"/>
        <v>4.4475138121546962</v>
      </c>
    </row>
    <row r="23" spans="1:8" ht="27" customHeight="1">
      <c r="A23" s="8">
        <v>20</v>
      </c>
      <c r="B23" s="124" t="s">
        <v>167</v>
      </c>
      <c r="C23" s="60">
        <v>221</v>
      </c>
      <c r="D23" s="61">
        <v>172</v>
      </c>
      <c r="E23" s="39">
        <v>151</v>
      </c>
      <c r="F23" s="62">
        <v>70</v>
      </c>
      <c r="G23" s="168">
        <f t="shared" si="0"/>
        <v>68.325791855203619</v>
      </c>
      <c r="H23" s="135">
        <f t="shared" si="1"/>
        <v>3.4162895927601813</v>
      </c>
    </row>
    <row r="24" spans="1:8" ht="27" customHeight="1">
      <c r="A24" s="8">
        <v>21</v>
      </c>
      <c r="B24" s="124" t="s">
        <v>168</v>
      </c>
      <c r="C24" s="60">
        <v>498</v>
      </c>
      <c r="D24" s="61">
        <v>262</v>
      </c>
      <c r="E24" s="39">
        <v>189</v>
      </c>
      <c r="F24" s="62">
        <v>309</v>
      </c>
      <c r="G24" s="168">
        <f t="shared" si="0"/>
        <v>37.951807228915662</v>
      </c>
      <c r="H24" s="135">
        <f t="shared" si="1"/>
        <v>1.8975903614457832</v>
      </c>
    </row>
    <row r="25" spans="1:8" ht="27" customHeight="1">
      <c r="A25" s="8">
        <v>22</v>
      </c>
      <c r="B25" s="124" t="s">
        <v>169</v>
      </c>
      <c r="C25" s="60">
        <v>305</v>
      </c>
      <c r="D25" s="61">
        <v>132</v>
      </c>
      <c r="E25" s="39">
        <v>105</v>
      </c>
      <c r="F25" s="62">
        <v>200</v>
      </c>
      <c r="G25" s="168">
        <f t="shared" si="0"/>
        <v>34.42622950819672</v>
      </c>
      <c r="H25" s="135">
        <f t="shared" si="1"/>
        <v>1.721311475409836</v>
      </c>
    </row>
    <row r="26" spans="1:8" ht="27" customHeight="1">
      <c r="A26" s="8">
        <v>23</v>
      </c>
      <c r="B26" s="124" t="s">
        <v>170</v>
      </c>
      <c r="C26" s="60">
        <v>792</v>
      </c>
      <c r="D26" s="61">
        <v>471</v>
      </c>
      <c r="E26" s="39">
        <v>304</v>
      </c>
      <c r="F26" s="62">
        <v>488</v>
      </c>
      <c r="G26" s="168">
        <f t="shared" si="0"/>
        <v>38.383838383838381</v>
      </c>
      <c r="H26" s="135">
        <f t="shared" si="1"/>
        <v>1.9191919191919191</v>
      </c>
    </row>
    <row r="27" spans="1:8" ht="27" customHeight="1">
      <c r="A27" s="8">
        <v>24</v>
      </c>
      <c r="B27" s="124" t="s">
        <v>171</v>
      </c>
      <c r="C27" s="60">
        <v>756</v>
      </c>
      <c r="D27" s="61">
        <v>556</v>
      </c>
      <c r="E27" s="39">
        <v>467</v>
      </c>
      <c r="F27" s="62">
        <v>289</v>
      </c>
      <c r="G27" s="168">
        <f t="shared" si="0"/>
        <v>61.772486772486772</v>
      </c>
      <c r="H27" s="135">
        <f t="shared" si="1"/>
        <v>3.0886243386243386</v>
      </c>
    </row>
    <row r="28" spans="1:8" ht="27" customHeight="1">
      <c r="A28" s="8">
        <v>25</v>
      </c>
      <c r="B28" s="124" t="s">
        <v>172</v>
      </c>
      <c r="C28" s="60">
        <v>398</v>
      </c>
      <c r="D28" s="61">
        <v>310</v>
      </c>
      <c r="E28" s="39">
        <v>224</v>
      </c>
      <c r="F28" s="62">
        <v>174</v>
      </c>
      <c r="G28" s="168">
        <f t="shared" si="0"/>
        <v>56.281407035175882</v>
      </c>
      <c r="H28" s="135">
        <f t="shared" si="1"/>
        <v>2.8140703517587942</v>
      </c>
    </row>
    <row r="29" spans="1:8" ht="27" customHeight="1">
      <c r="A29" s="8">
        <v>26</v>
      </c>
      <c r="B29" s="124" t="s">
        <v>173</v>
      </c>
      <c r="C29" s="60">
        <v>217</v>
      </c>
      <c r="D29" s="61">
        <v>241</v>
      </c>
      <c r="E29" s="39">
        <v>201</v>
      </c>
      <c r="F29" s="62">
        <v>16</v>
      </c>
      <c r="G29" s="168">
        <f t="shared" si="0"/>
        <v>92.626728110599075</v>
      </c>
      <c r="H29" s="135">
        <f t="shared" si="1"/>
        <v>4.6313364055299537</v>
      </c>
    </row>
    <row r="30" spans="1:8" ht="27" customHeight="1">
      <c r="A30" s="8">
        <v>27</v>
      </c>
      <c r="B30" s="124" t="s">
        <v>174</v>
      </c>
      <c r="C30" s="60">
        <v>229</v>
      </c>
      <c r="D30" s="61">
        <v>148</v>
      </c>
      <c r="E30" s="39">
        <v>101</v>
      </c>
      <c r="F30" s="62">
        <v>128</v>
      </c>
      <c r="G30" s="168">
        <f t="shared" si="0"/>
        <v>44.104803493449779</v>
      </c>
      <c r="H30" s="135">
        <f t="shared" si="1"/>
        <v>2.2052401746724892</v>
      </c>
    </row>
    <row r="31" spans="1:8" ht="27" customHeight="1">
      <c r="A31" s="8">
        <v>28</v>
      </c>
      <c r="B31" s="124" t="s">
        <v>175</v>
      </c>
      <c r="C31" s="60">
        <v>464</v>
      </c>
      <c r="D31" s="61">
        <v>364</v>
      </c>
      <c r="E31" s="39">
        <v>303</v>
      </c>
      <c r="F31" s="62">
        <v>161</v>
      </c>
      <c r="G31" s="168">
        <f t="shared" si="0"/>
        <v>65.301724137931032</v>
      </c>
      <c r="H31" s="135">
        <f t="shared" si="1"/>
        <v>3.2650862068965516</v>
      </c>
    </row>
    <row r="32" spans="1:8" ht="27" customHeight="1">
      <c r="A32" s="8">
        <v>29</v>
      </c>
      <c r="B32" s="124" t="s">
        <v>176</v>
      </c>
      <c r="C32" s="60">
        <v>531</v>
      </c>
      <c r="D32" s="61">
        <v>294</v>
      </c>
      <c r="E32" s="39">
        <v>235</v>
      </c>
      <c r="F32" s="62">
        <v>296</v>
      </c>
      <c r="G32" s="168">
        <f t="shared" si="0"/>
        <v>44.256120527306969</v>
      </c>
      <c r="H32" s="135">
        <f t="shared" si="1"/>
        <v>2.2128060263653486</v>
      </c>
    </row>
    <row r="33" spans="1:8" ht="27" customHeight="1">
      <c r="A33" s="8">
        <v>30</v>
      </c>
      <c r="B33" s="124" t="s">
        <v>177</v>
      </c>
      <c r="C33" s="60">
        <v>322</v>
      </c>
      <c r="D33" s="61">
        <v>491</v>
      </c>
      <c r="E33" s="39">
        <v>198</v>
      </c>
      <c r="F33" s="62">
        <v>124</v>
      </c>
      <c r="G33" s="168">
        <f t="shared" si="0"/>
        <v>61.490683229813662</v>
      </c>
      <c r="H33" s="135">
        <f t="shared" si="1"/>
        <v>3.0745341614906834</v>
      </c>
    </row>
    <row r="34" spans="1:8" ht="27" customHeight="1">
      <c r="A34" s="8">
        <v>31</v>
      </c>
      <c r="B34" s="124" t="s">
        <v>178</v>
      </c>
      <c r="C34" s="60">
        <v>338</v>
      </c>
      <c r="D34" s="61">
        <v>336</v>
      </c>
      <c r="E34" s="39">
        <v>312</v>
      </c>
      <c r="F34" s="62">
        <v>26</v>
      </c>
      <c r="G34" s="168">
        <f t="shared" si="0"/>
        <v>92.307692307692307</v>
      </c>
      <c r="H34" s="135">
        <f t="shared" si="1"/>
        <v>4.6153846153846159</v>
      </c>
    </row>
    <row r="35" spans="1:8" ht="27" customHeight="1">
      <c r="A35" s="8">
        <v>32</v>
      </c>
      <c r="B35" s="124" t="s">
        <v>179</v>
      </c>
      <c r="C35" s="60">
        <v>252</v>
      </c>
      <c r="D35" s="61">
        <v>298</v>
      </c>
      <c r="E35" s="39">
        <v>204</v>
      </c>
      <c r="F35" s="62">
        <v>48</v>
      </c>
      <c r="G35" s="168">
        <f t="shared" si="0"/>
        <v>80.952380952380949</v>
      </c>
      <c r="H35" s="135">
        <f t="shared" si="1"/>
        <v>4.0476190476190474</v>
      </c>
    </row>
    <row r="36" spans="1:8" ht="27" customHeight="1">
      <c r="A36" s="8">
        <v>33</v>
      </c>
      <c r="B36" s="124" t="s">
        <v>180</v>
      </c>
      <c r="C36" s="60">
        <v>45</v>
      </c>
      <c r="D36" s="61">
        <v>47</v>
      </c>
      <c r="E36" s="39">
        <v>38</v>
      </c>
      <c r="F36" s="62">
        <v>7</v>
      </c>
      <c r="G36" s="168">
        <f t="shared" si="0"/>
        <v>84.444444444444443</v>
      </c>
      <c r="H36" s="135">
        <f t="shared" si="1"/>
        <v>4.2222222222222223</v>
      </c>
    </row>
    <row r="37" spans="1:8" ht="27" customHeight="1">
      <c r="A37" s="213" t="s">
        <v>58</v>
      </c>
      <c r="B37" s="213"/>
      <c r="C37" s="63">
        <f>SUM(C4:C36)</f>
        <v>12484</v>
      </c>
      <c r="D37" s="63">
        <f>SUM(D4:D36)</f>
        <v>10918</v>
      </c>
      <c r="E37" s="63">
        <f t="shared" ref="E37:F37" si="2">SUM(E4:E36)</f>
        <v>7767</v>
      </c>
      <c r="F37" s="63">
        <f t="shared" si="2"/>
        <v>4746</v>
      </c>
      <c r="G37" s="64">
        <f>AVERAGE(G4:G36)</f>
        <v>65.871392149380156</v>
      </c>
      <c r="H37" s="64">
        <f>AVERAGE(H4:H36)</f>
        <v>3.2935696074690082</v>
      </c>
    </row>
    <row r="40" spans="1:8" s="12" customFormat="1" ht="13.35" customHeight="1">
      <c r="F40" s="36"/>
      <c r="H40" s="36"/>
    </row>
    <row r="41" spans="1:8" ht="13.35" customHeight="1"/>
  </sheetData>
  <mergeCells count="10">
    <mergeCell ref="A37:B37"/>
    <mergeCell ref="A1:H1"/>
    <mergeCell ref="A2:A3"/>
    <mergeCell ref="B2:B3"/>
    <mergeCell ref="C2:C3"/>
    <mergeCell ref="D2:D3"/>
    <mergeCell ref="G2:G3"/>
    <mergeCell ref="H2:H3"/>
    <mergeCell ref="E2:E3"/>
    <mergeCell ref="F2:F3"/>
  </mergeCells>
  <printOptions horizontalCentered="1"/>
  <pageMargins left="0.51181102362204722" right="0.51181102362204722" top="0.74803149606299213" bottom="0.74803149606299213" header="0.31496062992125984" footer="0.31496062992125984"/>
  <pageSetup paperSize="5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F1AD-B376-453C-9AA4-228364D009AB}">
  <sheetPr codeName="Sheet10">
    <tabColor rgb="FFFF0000"/>
    <pageSetUpPr fitToPage="1"/>
  </sheetPr>
  <dimension ref="A1:F36"/>
  <sheetViews>
    <sheetView zoomScale="160" zoomScaleNormal="160" workbookViewId="0">
      <pane ySplit="2" topLeftCell="A3" activePane="bottomLeft" state="frozen"/>
      <selection pane="bottomLeft" activeCell="F34" sqref="F34"/>
    </sheetView>
  </sheetViews>
  <sheetFormatPr defaultRowHeight="14.4"/>
  <cols>
    <col min="1" max="1" width="5.77734375" style="12" bestFit="1" customWidth="1"/>
    <col min="2" max="2" width="19.44140625" style="91" bestFit="1" customWidth="1"/>
    <col min="3" max="3" width="10.5546875" style="12" bestFit="1" customWidth="1"/>
    <col min="4" max="4" width="10.44140625" style="12" customWidth="1"/>
    <col min="6" max="6" width="6.77734375" bestFit="1" customWidth="1"/>
  </cols>
  <sheetData>
    <row r="1" spans="1:6" ht="31.5" customHeight="1">
      <c r="A1" s="225" t="s">
        <v>188</v>
      </c>
      <c r="B1" s="225"/>
      <c r="C1" s="225"/>
      <c r="D1" s="225"/>
      <c r="E1" s="225"/>
      <c r="F1" s="225"/>
    </row>
    <row r="2" spans="1:6" s="17" customFormat="1" ht="30" customHeight="1">
      <c r="A2" s="65" t="s">
        <v>66</v>
      </c>
      <c r="B2" s="139" t="s">
        <v>48</v>
      </c>
      <c r="C2" s="65" t="s">
        <v>67</v>
      </c>
      <c r="D2" s="65" t="s">
        <v>68</v>
      </c>
      <c r="E2" s="7" t="s">
        <v>6</v>
      </c>
      <c r="F2" s="65" t="s">
        <v>7</v>
      </c>
    </row>
    <row r="3" spans="1:6" s="66" customFormat="1" ht="17.100000000000001" customHeight="1">
      <c r="A3" s="18">
        <v>1</v>
      </c>
      <c r="B3" s="124" t="s">
        <v>148</v>
      </c>
      <c r="C3" s="18">
        <v>0</v>
      </c>
      <c r="D3" s="9">
        <v>2</v>
      </c>
      <c r="E3" s="169">
        <f>IF(AND(D3&gt;=C3),100,0)</f>
        <v>100</v>
      </c>
      <c r="F3" s="169">
        <f>E3*5%</f>
        <v>5</v>
      </c>
    </row>
    <row r="4" spans="1:6" s="66" customFormat="1" ht="17.100000000000001" customHeight="1">
      <c r="A4" s="18">
        <v>2</v>
      </c>
      <c r="B4" s="124" t="s">
        <v>149</v>
      </c>
      <c r="C4" s="18">
        <v>4</v>
      </c>
      <c r="D4" s="9">
        <v>16</v>
      </c>
      <c r="E4" s="169">
        <f t="shared" ref="E4:E35" si="0">IF(AND(D4&gt;=C4),100,0)</f>
        <v>100</v>
      </c>
      <c r="F4" s="169">
        <f t="shared" ref="F4:F35" si="1">E4*5%</f>
        <v>5</v>
      </c>
    </row>
    <row r="5" spans="1:6" s="66" customFormat="1" ht="17.100000000000001" customHeight="1">
      <c r="A5" s="18">
        <v>3</v>
      </c>
      <c r="B5" s="124" t="s">
        <v>150</v>
      </c>
      <c r="C5" s="18">
        <v>1</v>
      </c>
      <c r="D5" s="9">
        <v>5</v>
      </c>
      <c r="E5" s="169">
        <f t="shared" si="0"/>
        <v>100</v>
      </c>
      <c r="F5" s="169">
        <f t="shared" si="1"/>
        <v>5</v>
      </c>
    </row>
    <row r="6" spans="1:6" s="66" customFormat="1" ht="17.100000000000001" customHeight="1">
      <c r="A6" s="18">
        <v>4</v>
      </c>
      <c r="B6" s="124" t="s">
        <v>151</v>
      </c>
      <c r="C6" s="18">
        <v>4</v>
      </c>
      <c r="D6" s="9">
        <v>4</v>
      </c>
      <c r="E6" s="169">
        <f t="shared" si="0"/>
        <v>100</v>
      </c>
      <c r="F6" s="169">
        <f t="shared" si="1"/>
        <v>5</v>
      </c>
    </row>
    <row r="7" spans="1:6" s="66" customFormat="1" ht="17.100000000000001" customHeight="1">
      <c r="A7" s="18">
        <v>5</v>
      </c>
      <c r="B7" s="124" t="s">
        <v>152</v>
      </c>
      <c r="C7" s="18">
        <v>9</v>
      </c>
      <c r="D7" s="9">
        <v>9</v>
      </c>
      <c r="E7" s="169">
        <f t="shared" si="0"/>
        <v>100</v>
      </c>
      <c r="F7" s="169">
        <f t="shared" si="1"/>
        <v>5</v>
      </c>
    </row>
    <row r="8" spans="1:6" s="66" customFormat="1" ht="17.100000000000001" customHeight="1">
      <c r="A8" s="18">
        <v>6</v>
      </c>
      <c r="B8" s="124" t="s">
        <v>153</v>
      </c>
      <c r="C8" s="18">
        <v>3</v>
      </c>
      <c r="D8" s="9">
        <v>28</v>
      </c>
      <c r="E8" s="169">
        <f t="shared" si="0"/>
        <v>100</v>
      </c>
      <c r="F8" s="169">
        <f t="shared" si="1"/>
        <v>5</v>
      </c>
    </row>
    <row r="9" spans="1:6" s="66" customFormat="1" ht="17.100000000000001" customHeight="1">
      <c r="A9" s="18">
        <v>7</v>
      </c>
      <c r="B9" s="124" t="s">
        <v>154</v>
      </c>
      <c r="C9" s="18">
        <v>2</v>
      </c>
      <c r="D9" s="9">
        <v>25</v>
      </c>
      <c r="E9" s="169">
        <f t="shared" si="0"/>
        <v>100</v>
      </c>
      <c r="F9" s="169">
        <f t="shared" si="1"/>
        <v>5</v>
      </c>
    </row>
    <row r="10" spans="1:6" s="66" customFormat="1" ht="17.100000000000001" customHeight="1">
      <c r="A10" s="18">
        <v>8</v>
      </c>
      <c r="B10" s="124" t="s">
        <v>155</v>
      </c>
      <c r="C10" s="18">
        <v>3</v>
      </c>
      <c r="D10" s="9">
        <v>13</v>
      </c>
      <c r="E10" s="169">
        <f t="shared" si="0"/>
        <v>100</v>
      </c>
      <c r="F10" s="169">
        <f t="shared" si="1"/>
        <v>5</v>
      </c>
    </row>
    <row r="11" spans="1:6" s="66" customFormat="1" ht="17.100000000000001" customHeight="1">
      <c r="A11" s="18">
        <v>9</v>
      </c>
      <c r="B11" s="124" t="s">
        <v>156</v>
      </c>
      <c r="C11" s="18">
        <v>0</v>
      </c>
      <c r="D11" s="9">
        <v>26</v>
      </c>
      <c r="E11" s="169">
        <f t="shared" si="0"/>
        <v>100</v>
      </c>
      <c r="F11" s="169">
        <f t="shared" si="1"/>
        <v>5</v>
      </c>
    </row>
    <row r="12" spans="1:6" s="66" customFormat="1" ht="17.100000000000001" customHeight="1">
      <c r="A12" s="18">
        <v>10</v>
      </c>
      <c r="B12" s="124" t="s">
        <v>157</v>
      </c>
      <c r="C12" s="18">
        <v>2</v>
      </c>
      <c r="D12" s="9">
        <v>16</v>
      </c>
      <c r="E12" s="169">
        <f t="shared" si="0"/>
        <v>100</v>
      </c>
      <c r="F12" s="169">
        <f t="shared" si="1"/>
        <v>5</v>
      </c>
    </row>
    <row r="13" spans="1:6" s="66" customFormat="1" ht="17.100000000000001" customHeight="1">
      <c r="A13" s="18">
        <v>11</v>
      </c>
      <c r="B13" s="124" t="s">
        <v>158</v>
      </c>
      <c r="C13" s="18">
        <v>1</v>
      </c>
      <c r="D13" s="9">
        <v>11</v>
      </c>
      <c r="E13" s="169">
        <f t="shared" si="0"/>
        <v>100</v>
      </c>
      <c r="F13" s="169">
        <f t="shared" si="1"/>
        <v>5</v>
      </c>
    </row>
    <row r="14" spans="1:6" s="66" customFormat="1" ht="17.100000000000001" customHeight="1">
      <c r="A14" s="18">
        <v>12</v>
      </c>
      <c r="B14" s="124" t="s">
        <v>159</v>
      </c>
      <c r="C14" s="18">
        <v>3</v>
      </c>
      <c r="D14" s="9">
        <v>33</v>
      </c>
      <c r="E14" s="169">
        <f t="shared" si="0"/>
        <v>100</v>
      </c>
      <c r="F14" s="169">
        <f t="shared" si="1"/>
        <v>5</v>
      </c>
    </row>
    <row r="15" spans="1:6" s="66" customFormat="1" ht="17.100000000000001" customHeight="1">
      <c r="A15" s="18">
        <v>13</v>
      </c>
      <c r="B15" s="124" t="s">
        <v>160</v>
      </c>
      <c r="C15" s="18">
        <v>4</v>
      </c>
      <c r="D15" s="9">
        <v>30</v>
      </c>
      <c r="E15" s="169">
        <f t="shared" si="0"/>
        <v>100</v>
      </c>
      <c r="F15" s="169">
        <f t="shared" si="1"/>
        <v>5</v>
      </c>
    </row>
    <row r="16" spans="1:6" s="66" customFormat="1" ht="17.100000000000001" customHeight="1">
      <c r="A16" s="18">
        <v>14</v>
      </c>
      <c r="B16" s="124" t="s">
        <v>161</v>
      </c>
      <c r="C16" s="18">
        <v>1</v>
      </c>
      <c r="D16" s="9">
        <v>28</v>
      </c>
      <c r="E16" s="169">
        <f t="shared" si="0"/>
        <v>100</v>
      </c>
      <c r="F16" s="169">
        <f t="shared" si="1"/>
        <v>5</v>
      </c>
    </row>
    <row r="17" spans="1:6" s="66" customFormat="1" ht="17.100000000000001" customHeight="1">
      <c r="A17" s="18">
        <v>15</v>
      </c>
      <c r="B17" s="124" t="s">
        <v>162</v>
      </c>
      <c r="C17" s="18">
        <v>0</v>
      </c>
      <c r="D17" s="9">
        <v>33</v>
      </c>
      <c r="E17" s="169">
        <f t="shared" si="0"/>
        <v>100</v>
      </c>
      <c r="F17" s="169">
        <f t="shared" si="1"/>
        <v>5</v>
      </c>
    </row>
    <row r="18" spans="1:6" s="66" customFormat="1" ht="17.100000000000001" customHeight="1">
      <c r="A18" s="18">
        <v>16</v>
      </c>
      <c r="B18" s="124" t="s">
        <v>163</v>
      </c>
      <c r="C18" s="18">
        <v>2</v>
      </c>
      <c r="D18" s="9">
        <v>2</v>
      </c>
      <c r="E18" s="169">
        <f t="shared" si="0"/>
        <v>100</v>
      </c>
      <c r="F18" s="169">
        <f t="shared" si="1"/>
        <v>5</v>
      </c>
    </row>
    <row r="19" spans="1:6" s="66" customFormat="1" ht="17.100000000000001" customHeight="1">
      <c r="A19" s="18">
        <v>17</v>
      </c>
      <c r="B19" s="124" t="s">
        <v>164</v>
      </c>
      <c r="C19" s="18">
        <v>2</v>
      </c>
      <c r="D19" s="9">
        <v>2</v>
      </c>
      <c r="E19" s="169">
        <f t="shared" si="0"/>
        <v>100</v>
      </c>
      <c r="F19" s="169">
        <f t="shared" si="1"/>
        <v>5</v>
      </c>
    </row>
    <row r="20" spans="1:6" s="66" customFormat="1" ht="17.100000000000001" customHeight="1">
      <c r="A20" s="18">
        <v>18</v>
      </c>
      <c r="B20" s="124" t="s">
        <v>165</v>
      </c>
      <c r="C20" s="18">
        <v>2</v>
      </c>
      <c r="D20" s="9">
        <v>6</v>
      </c>
      <c r="E20" s="169">
        <f t="shared" si="0"/>
        <v>100</v>
      </c>
      <c r="F20" s="169">
        <f t="shared" si="1"/>
        <v>5</v>
      </c>
    </row>
    <row r="21" spans="1:6" s="66" customFormat="1" ht="17.100000000000001" customHeight="1">
      <c r="A21" s="18">
        <v>19</v>
      </c>
      <c r="B21" s="124" t="s">
        <v>166</v>
      </c>
      <c r="C21" s="18">
        <v>9</v>
      </c>
      <c r="D21" s="9">
        <v>13</v>
      </c>
      <c r="E21" s="169">
        <f t="shared" si="0"/>
        <v>100</v>
      </c>
      <c r="F21" s="169">
        <f t="shared" si="1"/>
        <v>5</v>
      </c>
    </row>
    <row r="22" spans="1:6" s="66" customFormat="1" ht="17.100000000000001" customHeight="1">
      <c r="A22" s="18">
        <v>20</v>
      </c>
      <c r="B22" s="124" t="s">
        <v>167</v>
      </c>
      <c r="C22" s="18">
        <v>3</v>
      </c>
      <c r="D22" s="9">
        <v>3</v>
      </c>
      <c r="E22" s="169">
        <f t="shared" si="0"/>
        <v>100</v>
      </c>
      <c r="F22" s="169">
        <f t="shared" si="1"/>
        <v>5</v>
      </c>
    </row>
    <row r="23" spans="1:6" s="66" customFormat="1" ht="17.100000000000001" customHeight="1">
      <c r="A23" s="18">
        <v>21</v>
      </c>
      <c r="B23" s="124" t="s">
        <v>168</v>
      </c>
      <c r="C23" s="18">
        <v>4</v>
      </c>
      <c r="D23" s="9">
        <v>13</v>
      </c>
      <c r="E23" s="169">
        <f t="shared" si="0"/>
        <v>100</v>
      </c>
      <c r="F23" s="169">
        <f t="shared" si="1"/>
        <v>5</v>
      </c>
    </row>
    <row r="24" spans="1:6" s="66" customFormat="1" ht="17.100000000000001" customHeight="1">
      <c r="A24" s="18">
        <v>22</v>
      </c>
      <c r="B24" s="124" t="s">
        <v>169</v>
      </c>
      <c r="C24" s="18">
        <v>1</v>
      </c>
      <c r="D24" s="9">
        <v>4</v>
      </c>
      <c r="E24" s="169">
        <f t="shared" si="0"/>
        <v>100</v>
      </c>
      <c r="F24" s="169">
        <f t="shared" si="1"/>
        <v>5</v>
      </c>
    </row>
    <row r="25" spans="1:6" s="66" customFormat="1" ht="17.100000000000001" customHeight="1">
      <c r="A25" s="18">
        <v>23</v>
      </c>
      <c r="B25" s="124" t="s">
        <v>170</v>
      </c>
      <c r="C25" s="18">
        <v>6</v>
      </c>
      <c r="D25" s="9">
        <v>45</v>
      </c>
      <c r="E25" s="169">
        <f t="shared" si="0"/>
        <v>100</v>
      </c>
      <c r="F25" s="169">
        <f t="shared" si="1"/>
        <v>5</v>
      </c>
    </row>
    <row r="26" spans="1:6" s="66" customFormat="1" ht="17.100000000000001" customHeight="1">
      <c r="A26" s="18">
        <v>24</v>
      </c>
      <c r="B26" s="124" t="s">
        <v>171</v>
      </c>
      <c r="C26" s="18">
        <v>4</v>
      </c>
      <c r="D26" s="9">
        <v>7</v>
      </c>
      <c r="E26" s="169">
        <f t="shared" si="0"/>
        <v>100</v>
      </c>
      <c r="F26" s="169">
        <f t="shared" si="1"/>
        <v>5</v>
      </c>
    </row>
    <row r="27" spans="1:6" s="66" customFormat="1" ht="17.100000000000001" customHeight="1">
      <c r="A27" s="18">
        <v>25</v>
      </c>
      <c r="B27" s="124" t="s">
        <v>172</v>
      </c>
      <c r="C27" s="18">
        <v>3</v>
      </c>
      <c r="D27" s="9">
        <v>4</v>
      </c>
      <c r="E27" s="169">
        <f t="shared" si="0"/>
        <v>100</v>
      </c>
      <c r="F27" s="169">
        <f t="shared" si="1"/>
        <v>5</v>
      </c>
    </row>
    <row r="28" spans="1:6" s="66" customFormat="1" ht="17.100000000000001" customHeight="1">
      <c r="A28" s="18">
        <v>26</v>
      </c>
      <c r="B28" s="124" t="s">
        <v>173</v>
      </c>
      <c r="C28" s="18">
        <v>0</v>
      </c>
      <c r="D28" s="9">
        <v>7</v>
      </c>
      <c r="E28" s="169">
        <f t="shared" si="0"/>
        <v>100</v>
      </c>
      <c r="F28" s="169">
        <f t="shared" si="1"/>
        <v>5</v>
      </c>
    </row>
    <row r="29" spans="1:6" s="66" customFormat="1" ht="17.100000000000001" customHeight="1">
      <c r="A29" s="18">
        <v>27</v>
      </c>
      <c r="B29" s="124" t="s">
        <v>174</v>
      </c>
      <c r="C29" s="18">
        <v>2</v>
      </c>
      <c r="D29" s="9">
        <v>2</v>
      </c>
      <c r="E29" s="169">
        <f t="shared" si="0"/>
        <v>100</v>
      </c>
      <c r="F29" s="169">
        <f t="shared" si="1"/>
        <v>5</v>
      </c>
    </row>
    <row r="30" spans="1:6" s="66" customFormat="1" ht="17.100000000000001" customHeight="1">
      <c r="A30" s="18">
        <v>28</v>
      </c>
      <c r="B30" s="124" t="s">
        <v>175</v>
      </c>
      <c r="C30" s="18">
        <v>1</v>
      </c>
      <c r="D30" s="9">
        <v>2</v>
      </c>
      <c r="E30" s="169">
        <f t="shared" si="0"/>
        <v>100</v>
      </c>
      <c r="F30" s="169">
        <f t="shared" si="1"/>
        <v>5</v>
      </c>
    </row>
    <row r="31" spans="1:6" s="66" customFormat="1" ht="17.100000000000001" customHeight="1">
      <c r="A31" s="18">
        <v>29</v>
      </c>
      <c r="B31" s="124" t="s">
        <v>176</v>
      </c>
      <c r="C31" s="18">
        <v>4</v>
      </c>
      <c r="D31" s="9">
        <v>16</v>
      </c>
      <c r="E31" s="169">
        <f t="shared" si="0"/>
        <v>100</v>
      </c>
      <c r="F31" s="169">
        <f t="shared" si="1"/>
        <v>5</v>
      </c>
    </row>
    <row r="32" spans="1:6" s="66" customFormat="1" ht="17.100000000000001" customHeight="1">
      <c r="A32" s="18">
        <v>30</v>
      </c>
      <c r="B32" s="124" t="s">
        <v>177</v>
      </c>
      <c r="C32" s="18">
        <v>2</v>
      </c>
      <c r="D32" s="9">
        <v>22</v>
      </c>
      <c r="E32" s="169">
        <f t="shared" si="0"/>
        <v>100</v>
      </c>
      <c r="F32" s="169">
        <f t="shared" si="1"/>
        <v>5</v>
      </c>
    </row>
    <row r="33" spans="1:6" s="66" customFormat="1" ht="17.100000000000001" customHeight="1">
      <c r="A33" s="18">
        <v>31</v>
      </c>
      <c r="B33" s="124" t="s">
        <v>178</v>
      </c>
      <c r="C33" s="18">
        <v>1</v>
      </c>
      <c r="D33" s="9">
        <v>84</v>
      </c>
      <c r="E33" s="169">
        <f t="shared" si="0"/>
        <v>100</v>
      </c>
      <c r="F33" s="169">
        <f t="shared" si="1"/>
        <v>5</v>
      </c>
    </row>
    <row r="34" spans="1:6" s="66" customFormat="1" ht="17.100000000000001" customHeight="1">
      <c r="A34" s="18">
        <v>32</v>
      </c>
      <c r="B34" s="124" t="s">
        <v>179</v>
      </c>
      <c r="C34" s="18">
        <v>2</v>
      </c>
      <c r="D34" s="9">
        <v>10</v>
      </c>
      <c r="E34" s="169">
        <f t="shared" si="0"/>
        <v>100</v>
      </c>
      <c r="F34" s="169">
        <f t="shared" si="1"/>
        <v>5</v>
      </c>
    </row>
    <row r="35" spans="1:6" s="66" customFormat="1" ht="17.100000000000001" customHeight="1">
      <c r="A35" s="18">
        <v>33</v>
      </c>
      <c r="B35" s="124" t="s">
        <v>180</v>
      </c>
      <c r="C35" s="18">
        <v>2</v>
      </c>
      <c r="D35" s="9">
        <v>2</v>
      </c>
      <c r="E35" s="169">
        <f t="shared" si="0"/>
        <v>100</v>
      </c>
      <c r="F35" s="169">
        <f t="shared" si="1"/>
        <v>5</v>
      </c>
    </row>
    <row r="36" spans="1:6" ht="34.799999999999997" customHeight="1">
      <c r="A36" s="226" t="s">
        <v>69</v>
      </c>
      <c r="B36" s="226"/>
      <c r="C36" s="67">
        <f>SUM(C3:C35)</f>
        <v>87</v>
      </c>
      <c r="D36" s="67">
        <f>SUM(D3:D35)</f>
        <v>523</v>
      </c>
      <c r="E36" s="64">
        <f>AVERAGE(E3:E35)</f>
        <v>100</v>
      </c>
      <c r="F36" s="64">
        <f>AVERAGE(F3:F35)</f>
        <v>5</v>
      </c>
    </row>
  </sheetData>
  <mergeCells count="2">
    <mergeCell ref="A1:F1"/>
    <mergeCell ref="A36:B36"/>
  </mergeCells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D25C-9A6B-48DD-8096-A11B36920CC2}">
  <sheetPr codeName="Sheet2">
    <tabColor theme="5" tint="-0.249977111117893"/>
    <pageSetUpPr fitToPage="1"/>
  </sheetPr>
  <dimension ref="A1:L53"/>
  <sheetViews>
    <sheetView tabSelected="1" zoomScale="70" zoomScaleNormal="70" workbookViewId="0">
      <pane ySplit="2" topLeftCell="A3" activePane="bottomLeft" state="frozen"/>
      <selection pane="bottomLeft" activeCell="Q6" sqref="Q6"/>
    </sheetView>
  </sheetViews>
  <sheetFormatPr defaultColWidth="8.88671875" defaultRowHeight="14.4"/>
  <cols>
    <col min="1" max="1" width="5.44140625" style="78" bestFit="1" customWidth="1"/>
    <col min="2" max="2" width="26.88671875" style="82" customWidth="1"/>
    <col min="3" max="3" width="16.6640625" style="78" customWidth="1"/>
    <col min="4" max="4" width="13.5546875" style="78" bestFit="1" customWidth="1"/>
    <col min="5" max="6" width="16" style="78" customWidth="1"/>
    <col min="7" max="7" width="18.88671875" style="78" customWidth="1"/>
    <col min="8" max="8" width="15.33203125" style="78" customWidth="1"/>
    <col min="9" max="9" width="26.5546875" style="83" customWidth="1"/>
    <col min="10" max="10" width="33.5546875" style="83" customWidth="1"/>
    <col min="11" max="11" width="19.5546875" style="78" bestFit="1" customWidth="1"/>
    <col min="12" max="12" width="8.88671875" style="78"/>
    <col min="13" max="16384" width="8.88671875" style="68"/>
  </cols>
  <sheetData>
    <row r="1" spans="1:12" ht="25.35" customHeight="1">
      <c r="A1" s="194" t="s">
        <v>258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2" spans="1:12" s="73" customFormat="1" ht="150" customHeight="1">
      <c r="A2" s="69" t="s">
        <v>70</v>
      </c>
      <c r="B2" s="70" t="s">
        <v>48</v>
      </c>
      <c r="C2" s="69" t="s">
        <v>71</v>
      </c>
      <c r="D2" s="69" t="s">
        <v>72</v>
      </c>
      <c r="E2" s="69" t="s">
        <v>73</v>
      </c>
      <c r="F2" s="69" t="s">
        <v>74</v>
      </c>
      <c r="G2" s="69" t="s">
        <v>75</v>
      </c>
      <c r="H2" s="69" t="s">
        <v>76</v>
      </c>
      <c r="I2" s="71" t="s">
        <v>77</v>
      </c>
      <c r="J2" s="71" t="s">
        <v>78</v>
      </c>
      <c r="K2" s="72" t="s">
        <v>79</v>
      </c>
      <c r="L2" s="69" t="s">
        <v>7</v>
      </c>
    </row>
    <row r="3" spans="1:12" s="76" customFormat="1" ht="30" customHeight="1">
      <c r="A3" s="74">
        <v>1</v>
      </c>
      <c r="B3" s="124" t="s">
        <v>148</v>
      </c>
      <c r="C3" s="95">
        <v>43</v>
      </c>
      <c r="D3" s="95">
        <v>31</v>
      </c>
      <c r="E3" s="95">
        <v>12</v>
      </c>
      <c r="F3" s="95">
        <v>25</v>
      </c>
      <c r="G3" s="95">
        <v>13</v>
      </c>
      <c r="H3" s="170">
        <f>E3</f>
        <v>12</v>
      </c>
      <c r="I3" s="171">
        <f>IFERROR(E3*100/F3,0)</f>
        <v>48</v>
      </c>
      <c r="J3" s="171">
        <f>(I3-MIN($I$3:$I$35))*100/(MAX($I$3:$I$35)-MIN($I$3:$I$35))</f>
        <v>63</v>
      </c>
      <c r="K3" s="171">
        <f>IF(C3=0,50,IF(I3*0.7+J3*0.3&gt;100,100,I3*0.7+J3*0.3))</f>
        <v>52.499999999999993</v>
      </c>
      <c r="L3" s="171">
        <f>K3*5%</f>
        <v>2.625</v>
      </c>
    </row>
    <row r="4" spans="1:12" s="76" customFormat="1" ht="30" customHeight="1">
      <c r="A4" s="74">
        <v>2</v>
      </c>
      <c r="B4" s="124" t="s">
        <v>149</v>
      </c>
      <c r="C4" s="95">
        <v>271</v>
      </c>
      <c r="D4" s="95">
        <v>188</v>
      </c>
      <c r="E4" s="95">
        <v>83</v>
      </c>
      <c r="F4" s="95">
        <v>149</v>
      </c>
      <c r="G4" s="95">
        <v>72</v>
      </c>
      <c r="H4" s="170">
        <f t="shared" ref="H4:H35" si="0">E4</f>
        <v>83</v>
      </c>
      <c r="I4" s="171">
        <f t="shared" ref="I4:I35" si="1">IFERROR(E4*100/F4,0)</f>
        <v>55.70469798657718</v>
      </c>
      <c r="J4" s="171">
        <f t="shared" ref="J4:J35" si="2">(I4-MIN($I$3:$I$35))*100/(MAX($I$3:$I$35)-MIN($I$3:$I$35))</f>
        <v>73.112416107382558</v>
      </c>
      <c r="K4" s="171">
        <f t="shared" ref="K4:K35" si="3">IF(C4=0,50,IF(I4*0.7+J4*0.3&gt;100,100,I4*0.7+J4*0.3))</f>
        <v>60.927013422818789</v>
      </c>
      <c r="L4" s="171">
        <f t="shared" ref="L4:L35" si="4">K4*5%</f>
        <v>3.0463506711409396</v>
      </c>
    </row>
    <row r="5" spans="1:12" s="76" customFormat="1" ht="30" customHeight="1">
      <c r="A5" s="74">
        <v>3</v>
      </c>
      <c r="B5" s="124" t="s">
        <v>150</v>
      </c>
      <c r="C5" s="95">
        <v>1376</v>
      </c>
      <c r="D5" s="95">
        <v>956</v>
      </c>
      <c r="E5" s="95">
        <v>420</v>
      </c>
      <c r="F5" s="95">
        <v>709</v>
      </c>
      <c r="G5" s="95">
        <v>321</v>
      </c>
      <c r="H5" s="170">
        <f t="shared" si="0"/>
        <v>420</v>
      </c>
      <c r="I5" s="171">
        <f t="shared" si="1"/>
        <v>59.238363892806767</v>
      </c>
      <c r="J5" s="171">
        <f t="shared" si="2"/>
        <v>77.750352609308877</v>
      </c>
      <c r="K5" s="171">
        <f t="shared" si="3"/>
        <v>64.791960507757395</v>
      </c>
      <c r="L5" s="171">
        <f t="shared" si="4"/>
        <v>3.23959802538787</v>
      </c>
    </row>
    <row r="6" spans="1:12" s="76" customFormat="1" ht="30" customHeight="1">
      <c r="A6" s="74">
        <v>4</v>
      </c>
      <c r="B6" s="124" t="s">
        <v>151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170">
        <f t="shared" si="0"/>
        <v>0</v>
      </c>
      <c r="I6" s="171">
        <f t="shared" si="1"/>
        <v>0</v>
      </c>
      <c r="J6" s="171">
        <f t="shared" si="2"/>
        <v>0</v>
      </c>
      <c r="K6" s="171">
        <f t="shared" si="3"/>
        <v>50</v>
      </c>
      <c r="L6" s="171">
        <f t="shared" si="4"/>
        <v>2.5</v>
      </c>
    </row>
    <row r="7" spans="1:12" s="76" customFormat="1" ht="30" customHeight="1">
      <c r="A7" s="74">
        <v>5</v>
      </c>
      <c r="B7" s="124" t="s">
        <v>152</v>
      </c>
      <c r="C7" s="95">
        <v>339</v>
      </c>
      <c r="D7" s="95">
        <v>223</v>
      </c>
      <c r="E7" s="95">
        <v>116</v>
      </c>
      <c r="F7" s="95">
        <v>185</v>
      </c>
      <c r="G7" s="95">
        <v>77</v>
      </c>
      <c r="H7" s="170">
        <f t="shared" si="0"/>
        <v>116</v>
      </c>
      <c r="I7" s="171">
        <f t="shared" si="1"/>
        <v>62.702702702702702</v>
      </c>
      <c r="J7" s="171">
        <f t="shared" si="2"/>
        <v>82.297297297297291</v>
      </c>
      <c r="K7" s="171">
        <f t="shared" si="3"/>
        <v>68.581081081081066</v>
      </c>
      <c r="L7" s="171">
        <f t="shared" si="4"/>
        <v>3.4290540540540535</v>
      </c>
    </row>
    <row r="8" spans="1:12" s="76" customFormat="1" ht="30" customHeight="1">
      <c r="A8" s="74">
        <v>6</v>
      </c>
      <c r="B8" s="124" t="s">
        <v>153</v>
      </c>
      <c r="C8" s="95">
        <v>144</v>
      </c>
      <c r="D8" s="95">
        <v>107</v>
      </c>
      <c r="E8" s="95">
        <v>37</v>
      </c>
      <c r="F8" s="95">
        <v>68</v>
      </c>
      <c r="G8" s="95">
        <v>36</v>
      </c>
      <c r="H8" s="170">
        <f t="shared" si="0"/>
        <v>37</v>
      </c>
      <c r="I8" s="171">
        <f t="shared" si="1"/>
        <v>54.411764705882355</v>
      </c>
      <c r="J8" s="171">
        <f t="shared" si="2"/>
        <v>71.41544117647058</v>
      </c>
      <c r="K8" s="171">
        <f t="shared" si="3"/>
        <v>59.512867647058819</v>
      </c>
      <c r="L8" s="171">
        <f t="shared" si="4"/>
        <v>2.9756433823529411</v>
      </c>
    </row>
    <row r="9" spans="1:12" s="76" customFormat="1" ht="30" customHeight="1">
      <c r="A9" s="74">
        <v>7</v>
      </c>
      <c r="B9" s="124" t="s">
        <v>154</v>
      </c>
      <c r="C9" s="95">
        <v>45</v>
      </c>
      <c r="D9" s="95">
        <v>28</v>
      </c>
      <c r="E9" s="95">
        <v>17</v>
      </c>
      <c r="F9" s="95">
        <v>25</v>
      </c>
      <c r="G9" s="95">
        <v>9</v>
      </c>
      <c r="H9" s="170">
        <f t="shared" si="0"/>
        <v>17</v>
      </c>
      <c r="I9" s="171">
        <f t="shared" si="1"/>
        <v>68</v>
      </c>
      <c r="J9" s="171">
        <f t="shared" si="2"/>
        <v>89.25</v>
      </c>
      <c r="K9" s="171">
        <f t="shared" si="3"/>
        <v>74.375</v>
      </c>
      <c r="L9" s="171">
        <f t="shared" si="4"/>
        <v>3.71875</v>
      </c>
    </row>
    <row r="10" spans="1:12" s="76" customFormat="1" ht="30" customHeight="1">
      <c r="A10" s="74">
        <v>8</v>
      </c>
      <c r="B10" s="124" t="s">
        <v>155</v>
      </c>
      <c r="C10" s="95">
        <v>331</v>
      </c>
      <c r="D10" s="95">
        <v>240</v>
      </c>
      <c r="E10" s="95">
        <v>91</v>
      </c>
      <c r="F10" s="95">
        <v>164</v>
      </c>
      <c r="G10" s="95">
        <v>77</v>
      </c>
      <c r="H10" s="170">
        <f t="shared" si="0"/>
        <v>91</v>
      </c>
      <c r="I10" s="171">
        <f t="shared" si="1"/>
        <v>55.487804878048777</v>
      </c>
      <c r="J10" s="171">
        <f t="shared" si="2"/>
        <v>72.827743902439011</v>
      </c>
      <c r="K10" s="171">
        <f t="shared" si="3"/>
        <v>60.689786585365844</v>
      </c>
      <c r="L10" s="171">
        <f t="shared" si="4"/>
        <v>3.0344893292682924</v>
      </c>
    </row>
    <row r="11" spans="1:12" s="76" customFormat="1" ht="30" customHeight="1">
      <c r="A11" s="74">
        <v>9</v>
      </c>
      <c r="B11" s="124" t="s">
        <v>156</v>
      </c>
      <c r="C11" s="95">
        <v>75</v>
      </c>
      <c r="D11" s="95">
        <v>47</v>
      </c>
      <c r="E11" s="95">
        <v>28</v>
      </c>
      <c r="F11" s="95">
        <v>48</v>
      </c>
      <c r="G11" s="95">
        <v>20</v>
      </c>
      <c r="H11" s="170">
        <f t="shared" si="0"/>
        <v>28</v>
      </c>
      <c r="I11" s="171">
        <f t="shared" si="1"/>
        <v>58.333333333333336</v>
      </c>
      <c r="J11" s="171">
        <f t="shared" si="2"/>
        <v>76.562500000000014</v>
      </c>
      <c r="K11" s="171">
        <f t="shared" si="3"/>
        <v>63.802083333333343</v>
      </c>
      <c r="L11" s="171">
        <f t="shared" si="4"/>
        <v>3.1901041666666674</v>
      </c>
    </row>
    <row r="12" spans="1:12" s="76" customFormat="1" ht="30" customHeight="1">
      <c r="A12" s="74">
        <v>10</v>
      </c>
      <c r="B12" s="124" t="s">
        <v>157</v>
      </c>
      <c r="C12" s="95">
        <v>37</v>
      </c>
      <c r="D12" s="95">
        <v>31</v>
      </c>
      <c r="E12" s="95">
        <v>6</v>
      </c>
      <c r="F12" s="95">
        <v>25</v>
      </c>
      <c r="G12" s="95">
        <v>19</v>
      </c>
      <c r="H12" s="170">
        <f t="shared" si="0"/>
        <v>6</v>
      </c>
      <c r="I12" s="171">
        <f t="shared" si="1"/>
        <v>24</v>
      </c>
      <c r="J12" s="171">
        <f t="shared" si="2"/>
        <v>31.5</v>
      </c>
      <c r="K12" s="171">
        <f t="shared" si="3"/>
        <v>26.249999999999996</v>
      </c>
      <c r="L12" s="171">
        <f t="shared" si="4"/>
        <v>1.3125</v>
      </c>
    </row>
    <row r="13" spans="1:12" s="76" customFormat="1" ht="30" customHeight="1">
      <c r="A13" s="74">
        <v>11</v>
      </c>
      <c r="B13" s="124" t="s">
        <v>158</v>
      </c>
      <c r="C13" s="95">
        <v>87</v>
      </c>
      <c r="D13" s="95">
        <v>56</v>
      </c>
      <c r="E13" s="95">
        <v>31</v>
      </c>
      <c r="F13" s="95">
        <v>49</v>
      </c>
      <c r="G13" s="95">
        <v>23</v>
      </c>
      <c r="H13" s="170">
        <f t="shared" si="0"/>
        <v>31</v>
      </c>
      <c r="I13" s="171">
        <f t="shared" si="1"/>
        <v>63.265306122448976</v>
      </c>
      <c r="J13" s="171">
        <f t="shared" si="2"/>
        <v>83.035714285714278</v>
      </c>
      <c r="K13" s="171">
        <f t="shared" si="3"/>
        <v>69.196428571428555</v>
      </c>
      <c r="L13" s="171">
        <f t="shared" si="4"/>
        <v>3.4598214285714279</v>
      </c>
    </row>
    <row r="14" spans="1:12" s="76" customFormat="1" ht="30" customHeight="1">
      <c r="A14" s="74">
        <v>12</v>
      </c>
      <c r="B14" s="124" t="s">
        <v>159</v>
      </c>
      <c r="C14" s="95">
        <v>46</v>
      </c>
      <c r="D14" s="95">
        <v>36</v>
      </c>
      <c r="E14" s="95">
        <v>10</v>
      </c>
      <c r="F14" s="95">
        <v>22</v>
      </c>
      <c r="G14" s="95">
        <v>12</v>
      </c>
      <c r="H14" s="170">
        <f t="shared" si="0"/>
        <v>10</v>
      </c>
      <c r="I14" s="171">
        <f t="shared" si="1"/>
        <v>45.454545454545453</v>
      </c>
      <c r="J14" s="171">
        <f t="shared" si="2"/>
        <v>59.659090909090907</v>
      </c>
      <c r="K14" s="171">
        <f t="shared" si="3"/>
        <v>49.715909090909086</v>
      </c>
      <c r="L14" s="171">
        <f t="shared" si="4"/>
        <v>2.4857954545454546</v>
      </c>
    </row>
    <row r="15" spans="1:12" s="76" customFormat="1" ht="30" customHeight="1">
      <c r="A15" s="74">
        <v>13</v>
      </c>
      <c r="B15" s="124" t="s">
        <v>160</v>
      </c>
      <c r="C15" s="95">
        <v>254</v>
      </c>
      <c r="D15" s="95">
        <v>191</v>
      </c>
      <c r="E15" s="95">
        <v>63</v>
      </c>
      <c r="F15" s="95">
        <v>126</v>
      </c>
      <c r="G15" s="95">
        <v>64</v>
      </c>
      <c r="H15" s="170">
        <f t="shared" si="0"/>
        <v>63</v>
      </c>
      <c r="I15" s="171">
        <f t="shared" si="1"/>
        <v>50</v>
      </c>
      <c r="J15" s="171">
        <f t="shared" si="2"/>
        <v>65.625</v>
      </c>
      <c r="K15" s="171">
        <f t="shared" si="3"/>
        <v>54.6875</v>
      </c>
      <c r="L15" s="171">
        <f t="shared" si="4"/>
        <v>2.734375</v>
      </c>
    </row>
    <row r="16" spans="1:12" s="76" customFormat="1" ht="30" customHeight="1">
      <c r="A16" s="74">
        <v>14</v>
      </c>
      <c r="B16" s="124" t="s">
        <v>161</v>
      </c>
      <c r="C16" s="95">
        <v>90</v>
      </c>
      <c r="D16" s="95">
        <v>62</v>
      </c>
      <c r="E16" s="95">
        <v>28</v>
      </c>
      <c r="F16" s="95">
        <v>57</v>
      </c>
      <c r="G16" s="95">
        <v>29</v>
      </c>
      <c r="H16" s="170">
        <f t="shared" si="0"/>
        <v>28</v>
      </c>
      <c r="I16" s="171">
        <f t="shared" si="1"/>
        <v>49.122807017543863</v>
      </c>
      <c r="J16" s="171">
        <f t="shared" si="2"/>
        <v>64.473684210526329</v>
      </c>
      <c r="K16" s="171">
        <f t="shared" si="3"/>
        <v>53.728070175438596</v>
      </c>
      <c r="L16" s="171">
        <f t="shared" si="4"/>
        <v>2.6864035087719298</v>
      </c>
    </row>
    <row r="17" spans="1:12" s="76" customFormat="1" ht="30" customHeight="1">
      <c r="A17" s="74">
        <v>15</v>
      </c>
      <c r="B17" s="124" t="s">
        <v>162</v>
      </c>
      <c r="C17" s="95">
        <v>77</v>
      </c>
      <c r="D17" s="95">
        <v>53</v>
      </c>
      <c r="E17" s="95">
        <v>24</v>
      </c>
      <c r="F17" s="95">
        <v>50</v>
      </c>
      <c r="G17" s="95">
        <v>28</v>
      </c>
      <c r="H17" s="170">
        <f t="shared" si="0"/>
        <v>24</v>
      </c>
      <c r="I17" s="171">
        <f t="shared" si="1"/>
        <v>48</v>
      </c>
      <c r="J17" s="171">
        <f t="shared" si="2"/>
        <v>63</v>
      </c>
      <c r="K17" s="171">
        <f t="shared" si="3"/>
        <v>52.499999999999993</v>
      </c>
      <c r="L17" s="171">
        <f t="shared" si="4"/>
        <v>2.625</v>
      </c>
    </row>
    <row r="18" spans="1:12" s="76" customFormat="1" ht="30" customHeight="1">
      <c r="A18" s="74">
        <v>16</v>
      </c>
      <c r="B18" s="124" t="s">
        <v>163</v>
      </c>
      <c r="C18" s="74">
        <v>0</v>
      </c>
      <c r="D18" s="74">
        <v>0</v>
      </c>
      <c r="E18" s="74">
        <v>0</v>
      </c>
      <c r="F18" s="74">
        <v>0</v>
      </c>
      <c r="G18" s="74">
        <v>0</v>
      </c>
      <c r="H18" s="170">
        <f t="shared" si="0"/>
        <v>0</v>
      </c>
      <c r="I18" s="171">
        <f t="shared" si="1"/>
        <v>0</v>
      </c>
      <c r="J18" s="171">
        <f t="shared" si="2"/>
        <v>0</v>
      </c>
      <c r="K18" s="171">
        <f t="shared" si="3"/>
        <v>50</v>
      </c>
      <c r="L18" s="171">
        <f t="shared" si="4"/>
        <v>2.5</v>
      </c>
    </row>
    <row r="19" spans="1:12" s="76" customFormat="1" ht="30" customHeight="1">
      <c r="A19" s="74">
        <v>17</v>
      </c>
      <c r="B19" s="124" t="s">
        <v>164</v>
      </c>
      <c r="C19" s="95">
        <v>75</v>
      </c>
      <c r="D19" s="95">
        <v>43</v>
      </c>
      <c r="E19" s="95">
        <v>32</v>
      </c>
      <c r="F19" s="95">
        <v>42</v>
      </c>
      <c r="G19" s="95">
        <v>14</v>
      </c>
      <c r="H19" s="170">
        <f t="shared" si="0"/>
        <v>32</v>
      </c>
      <c r="I19" s="171">
        <f t="shared" si="1"/>
        <v>76.19047619047619</v>
      </c>
      <c r="J19" s="171">
        <f t="shared" si="2"/>
        <v>100</v>
      </c>
      <c r="K19" s="171">
        <f t="shared" si="3"/>
        <v>83.333333333333329</v>
      </c>
      <c r="L19" s="171">
        <f t="shared" si="4"/>
        <v>4.166666666666667</v>
      </c>
    </row>
    <row r="20" spans="1:12" s="76" customFormat="1" ht="30" customHeight="1">
      <c r="A20" s="74">
        <v>18</v>
      </c>
      <c r="B20" s="124" t="s">
        <v>165</v>
      </c>
      <c r="C20" s="95">
        <v>125</v>
      </c>
      <c r="D20" s="95">
        <v>90</v>
      </c>
      <c r="E20" s="95">
        <v>35</v>
      </c>
      <c r="F20" s="95">
        <v>66</v>
      </c>
      <c r="G20" s="95">
        <v>34</v>
      </c>
      <c r="H20" s="170">
        <f t="shared" si="0"/>
        <v>35</v>
      </c>
      <c r="I20" s="171">
        <f t="shared" si="1"/>
        <v>53.030303030303031</v>
      </c>
      <c r="J20" s="171">
        <f t="shared" si="2"/>
        <v>69.602272727272734</v>
      </c>
      <c r="K20" s="171">
        <f t="shared" si="3"/>
        <v>58.001893939393938</v>
      </c>
      <c r="L20" s="171">
        <f t="shared" si="4"/>
        <v>2.9000946969696972</v>
      </c>
    </row>
    <row r="21" spans="1:12" s="76" customFormat="1" ht="30" customHeight="1">
      <c r="A21" s="74">
        <v>19</v>
      </c>
      <c r="B21" s="124" t="s">
        <v>166</v>
      </c>
      <c r="C21" s="95">
        <v>127</v>
      </c>
      <c r="D21" s="95">
        <v>95</v>
      </c>
      <c r="E21" s="95">
        <v>32</v>
      </c>
      <c r="F21" s="95">
        <v>73</v>
      </c>
      <c r="G21" s="95">
        <v>42</v>
      </c>
      <c r="H21" s="170">
        <f t="shared" si="0"/>
        <v>32</v>
      </c>
      <c r="I21" s="171">
        <f t="shared" si="1"/>
        <v>43.835616438356162</v>
      </c>
      <c r="J21" s="171">
        <f t="shared" si="2"/>
        <v>57.534246575342465</v>
      </c>
      <c r="K21" s="171">
        <f t="shared" si="3"/>
        <v>47.945205479452049</v>
      </c>
      <c r="L21" s="171">
        <f t="shared" si="4"/>
        <v>2.3972602739726026</v>
      </c>
    </row>
    <row r="22" spans="1:12" s="76" customFormat="1" ht="30" customHeight="1">
      <c r="A22" s="74">
        <v>20</v>
      </c>
      <c r="B22" s="124" t="s">
        <v>167</v>
      </c>
      <c r="C22" s="95">
        <v>90</v>
      </c>
      <c r="D22" s="95">
        <v>58</v>
      </c>
      <c r="E22" s="95">
        <v>32</v>
      </c>
      <c r="F22" s="95">
        <v>54</v>
      </c>
      <c r="G22" s="95">
        <v>25</v>
      </c>
      <c r="H22" s="170">
        <f t="shared" si="0"/>
        <v>32</v>
      </c>
      <c r="I22" s="171">
        <f t="shared" si="1"/>
        <v>59.25925925925926</v>
      </c>
      <c r="J22" s="171">
        <f t="shared" si="2"/>
        <v>77.777777777777786</v>
      </c>
      <c r="K22" s="171">
        <f t="shared" si="3"/>
        <v>64.81481481481481</v>
      </c>
      <c r="L22" s="171">
        <f t="shared" si="4"/>
        <v>3.2407407407407405</v>
      </c>
    </row>
    <row r="23" spans="1:12" s="76" customFormat="1" ht="30" customHeight="1">
      <c r="A23" s="74">
        <v>21</v>
      </c>
      <c r="B23" s="124" t="s">
        <v>168</v>
      </c>
      <c r="C23" s="95">
        <v>352</v>
      </c>
      <c r="D23" s="95">
        <v>255</v>
      </c>
      <c r="E23" s="95">
        <v>97</v>
      </c>
      <c r="F23" s="95">
        <v>169</v>
      </c>
      <c r="G23" s="95">
        <v>84</v>
      </c>
      <c r="H23" s="170">
        <f t="shared" si="0"/>
        <v>97</v>
      </c>
      <c r="I23" s="171">
        <f t="shared" si="1"/>
        <v>57.396449704142015</v>
      </c>
      <c r="J23" s="171">
        <f t="shared" si="2"/>
        <v>75.332840236686394</v>
      </c>
      <c r="K23" s="171">
        <f t="shared" si="3"/>
        <v>62.777366863905328</v>
      </c>
      <c r="L23" s="171">
        <f t="shared" si="4"/>
        <v>3.1388683431952664</v>
      </c>
    </row>
    <row r="24" spans="1:12" s="76" customFormat="1" ht="30" customHeight="1">
      <c r="A24" s="74">
        <v>22</v>
      </c>
      <c r="B24" s="124" t="s">
        <v>169</v>
      </c>
      <c r="C24" s="95">
        <v>95</v>
      </c>
      <c r="D24" s="95">
        <v>61</v>
      </c>
      <c r="E24" s="95">
        <v>34</v>
      </c>
      <c r="F24" s="95">
        <v>57</v>
      </c>
      <c r="G24" s="95">
        <v>24</v>
      </c>
      <c r="H24" s="170">
        <f t="shared" si="0"/>
        <v>34</v>
      </c>
      <c r="I24" s="171">
        <f t="shared" si="1"/>
        <v>59.649122807017541</v>
      </c>
      <c r="J24" s="171">
        <f t="shared" si="2"/>
        <v>78.28947368421052</v>
      </c>
      <c r="K24" s="171">
        <f t="shared" si="3"/>
        <v>65.241228070175424</v>
      </c>
      <c r="L24" s="171">
        <f t="shared" si="4"/>
        <v>3.2620614035087714</v>
      </c>
    </row>
    <row r="25" spans="1:12" s="76" customFormat="1" ht="30" customHeight="1">
      <c r="A25" s="74">
        <v>23</v>
      </c>
      <c r="B25" s="124" t="s">
        <v>170</v>
      </c>
      <c r="C25" s="95">
        <v>408</v>
      </c>
      <c r="D25" s="95">
        <v>292</v>
      </c>
      <c r="E25" s="95">
        <v>116</v>
      </c>
      <c r="F25" s="95">
        <v>196</v>
      </c>
      <c r="G25" s="95">
        <v>95</v>
      </c>
      <c r="H25" s="170">
        <f t="shared" si="0"/>
        <v>116</v>
      </c>
      <c r="I25" s="171">
        <f t="shared" si="1"/>
        <v>59.183673469387756</v>
      </c>
      <c r="J25" s="171">
        <f t="shared" si="2"/>
        <v>77.678571428571431</v>
      </c>
      <c r="K25" s="171">
        <f t="shared" si="3"/>
        <v>64.732142857142847</v>
      </c>
      <c r="L25" s="171">
        <f t="shared" si="4"/>
        <v>3.2366071428571423</v>
      </c>
    </row>
    <row r="26" spans="1:12" s="76" customFormat="1" ht="30" customHeight="1">
      <c r="A26" s="74">
        <v>24</v>
      </c>
      <c r="B26" s="124" t="s">
        <v>171</v>
      </c>
      <c r="C26" s="95">
        <v>156</v>
      </c>
      <c r="D26" s="95">
        <v>116</v>
      </c>
      <c r="E26" s="95">
        <v>40</v>
      </c>
      <c r="F26" s="95">
        <v>81</v>
      </c>
      <c r="G26" s="95">
        <v>42</v>
      </c>
      <c r="H26" s="170">
        <f t="shared" si="0"/>
        <v>40</v>
      </c>
      <c r="I26" s="171">
        <f t="shared" si="1"/>
        <v>49.382716049382715</v>
      </c>
      <c r="J26" s="171">
        <f t="shared" si="2"/>
        <v>64.81481481481481</v>
      </c>
      <c r="K26" s="171">
        <f t="shared" si="3"/>
        <v>54.012345679012341</v>
      </c>
      <c r="L26" s="171">
        <f t="shared" si="4"/>
        <v>2.7006172839506171</v>
      </c>
    </row>
    <row r="27" spans="1:12" s="76" customFormat="1" ht="30" customHeight="1">
      <c r="A27" s="74">
        <v>25</v>
      </c>
      <c r="B27" s="124" t="s">
        <v>172</v>
      </c>
      <c r="C27" s="95">
        <v>90</v>
      </c>
      <c r="D27" s="95">
        <v>54</v>
      </c>
      <c r="E27" s="95">
        <v>36</v>
      </c>
      <c r="F27" s="95">
        <v>57</v>
      </c>
      <c r="G27" s="95">
        <v>23</v>
      </c>
      <c r="H27" s="170">
        <f t="shared" si="0"/>
        <v>36</v>
      </c>
      <c r="I27" s="171">
        <f t="shared" si="1"/>
        <v>63.157894736842103</v>
      </c>
      <c r="J27" s="171">
        <f t="shared" si="2"/>
        <v>82.89473684210526</v>
      </c>
      <c r="K27" s="171">
        <f t="shared" si="3"/>
        <v>69.078947368421055</v>
      </c>
      <c r="L27" s="171">
        <f t="shared" si="4"/>
        <v>3.4539473684210531</v>
      </c>
    </row>
    <row r="28" spans="1:12" s="76" customFormat="1" ht="30" customHeight="1">
      <c r="A28" s="74">
        <v>26</v>
      </c>
      <c r="B28" s="124" t="s">
        <v>173</v>
      </c>
      <c r="C28" s="95">
        <v>132</v>
      </c>
      <c r="D28" s="95">
        <v>88</v>
      </c>
      <c r="E28" s="95">
        <v>44</v>
      </c>
      <c r="F28" s="95">
        <v>85</v>
      </c>
      <c r="G28" s="95">
        <v>42</v>
      </c>
      <c r="H28" s="170">
        <f t="shared" si="0"/>
        <v>44</v>
      </c>
      <c r="I28" s="171">
        <f t="shared" si="1"/>
        <v>51.764705882352942</v>
      </c>
      <c r="J28" s="171">
        <f t="shared" si="2"/>
        <v>67.941176470588246</v>
      </c>
      <c r="K28" s="171">
        <f t="shared" si="3"/>
        <v>56.617647058823536</v>
      </c>
      <c r="L28" s="171">
        <f t="shared" si="4"/>
        <v>2.8308823529411771</v>
      </c>
    </row>
    <row r="29" spans="1:12" s="76" customFormat="1" ht="30" customHeight="1">
      <c r="A29" s="74">
        <v>27</v>
      </c>
      <c r="B29" s="124" t="s">
        <v>174</v>
      </c>
      <c r="C29" s="95">
        <v>63</v>
      </c>
      <c r="D29" s="95">
        <v>46</v>
      </c>
      <c r="E29" s="95">
        <v>17</v>
      </c>
      <c r="F29" s="95">
        <v>32</v>
      </c>
      <c r="G29" s="95">
        <v>17</v>
      </c>
      <c r="H29" s="170">
        <f t="shared" si="0"/>
        <v>17</v>
      </c>
      <c r="I29" s="171">
        <f t="shared" si="1"/>
        <v>53.125</v>
      </c>
      <c r="J29" s="171">
        <f t="shared" si="2"/>
        <v>69.7265625</v>
      </c>
      <c r="K29" s="171">
        <f t="shared" si="3"/>
        <v>58.10546875</v>
      </c>
      <c r="L29" s="171">
        <f t="shared" si="4"/>
        <v>2.9052734375</v>
      </c>
    </row>
    <row r="30" spans="1:12" s="76" customFormat="1" ht="30" customHeight="1">
      <c r="A30" s="74">
        <v>28</v>
      </c>
      <c r="B30" s="124" t="s">
        <v>175</v>
      </c>
      <c r="C30" s="95">
        <v>152</v>
      </c>
      <c r="D30" s="95">
        <v>113</v>
      </c>
      <c r="E30" s="95">
        <v>39</v>
      </c>
      <c r="F30" s="95">
        <v>80</v>
      </c>
      <c r="G30" s="95">
        <v>41</v>
      </c>
      <c r="H30" s="170">
        <f t="shared" si="0"/>
        <v>39</v>
      </c>
      <c r="I30" s="171">
        <f t="shared" si="1"/>
        <v>48.75</v>
      </c>
      <c r="J30" s="171">
        <f t="shared" si="2"/>
        <v>63.984375</v>
      </c>
      <c r="K30" s="171">
        <f t="shared" si="3"/>
        <v>53.3203125</v>
      </c>
      <c r="L30" s="171">
        <f t="shared" si="4"/>
        <v>2.666015625</v>
      </c>
    </row>
    <row r="31" spans="1:12" s="76" customFormat="1" ht="30" customHeight="1">
      <c r="A31" s="74">
        <v>29</v>
      </c>
      <c r="B31" s="124" t="s">
        <v>176</v>
      </c>
      <c r="C31" s="95">
        <v>199</v>
      </c>
      <c r="D31" s="95">
        <v>143</v>
      </c>
      <c r="E31" s="95">
        <v>56</v>
      </c>
      <c r="F31" s="95">
        <v>88</v>
      </c>
      <c r="G31" s="95">
        <v>42</v>
      </c>
      <c r="H31" s="170">
        <f t="shared" si="0"/>
        <v>56</v>
      </c>
      <c r="I31" s="171">
        <f t="shared" si="1"/>
        <v>63.636363636363633</v>
      </c>
      <c r="J31" s="171">
        <f t="shared" si="2"/>
        <v>83.522727272727266</v>
      </c>
      <c r="K31" s="171">
        <f t="shared" si="3"/>
        <v>69.60227272727272</v>
      </c>
      <c r="L31" s="171">
        <f t="shared" si="4"/>
        <v>3.4801136363636362</v>
      </c>
    </row>
    <row r="32" spans="1:12" s="76" customFormat="1" ht="30" customHeight="1">
      <c r="A32" s="74">
        <v>30</v>
      </c>
      <c r="B32" s="124" t="s">
        <v>177</v>
      </c>
      <c r="C32" s="95">
        <v>104</v>
      </c>
      <c r="D32" s="95">
        <v>74</v>
      </c>
      <c r="E32" s="95">
        <v>30</v>
      </c>
      <c r="F32" s="95">
        <v>60</v>
      </c>
      <c r="G32" s="95">
        <v>35</v>
      </c>
      <c r="H32" s="170">
        <f t="shared" si="0"/>
        <v>30</v>
      </c>
      <c r="I32" s="171">
        <f t="shared" si="1"/>
        <v>50</v>
      </c>
      <c r="J32" s="171">
        <f t="shared" si="2"/>
        <v>65.625</v>
      </c>
      <c r="K32" s="171">
        <f t="shared" si="3"/>
        <v>54.6875</v>
      </c>
      <c r="L32" s="171">
        <f t="shared" si="4"/>
        <v>2.734375</v>
      </c>
    </row>
    <row r="33" spans="1:12" s="76" customFormat="1" ht="30" customHeight="1">
      <c r="A33" s="74">
        <v>31</v>
      </c>
      <c r="B33" s="124" t="s">
        <v>178</v>
      </c>
      <c r="C33" s="95">
        <v>103</v>
      </c>
      <c r="D33" s="95">
        <v>77</v>
      </c>
      <c r="E33" s="95">
        <v>26</v>
      </c>
      <c r="F33" s="95">
        <v>52</v>
      </c>
      <c r="G33" s="95">
        <v>28</v>
      </c>
      <c r="H33" s="170">
        <f t="shared" si="0"/>
        <v>26</v>
      </c>
      <c r="I33" s="171">
        <f t="shared" si="1"/>
        <v>50</v>
      </c>
      <c r="J33" s="171">
        <f t="shared" si="2"/>
        <v>65.625</v>
      </c>
      <c r="K33" s="171">
        <f t="shared" si="3"/>
        <v>54.6875</v>
      </c>
      <c r="L33" s="171">
        <f t="shared" si="4"/>
        <v>2.734375</v>
      </c>
    </row>
    <row r="34" spans="1:12" s="76" customFormat="1" ht="30" customHeight="1">
      <c r="A34" s="74">
        <v>32</v>
      </c>
      <c r="B34" s="124" t="s">
        <v>179</v>
      </c>
      <c r="C34" s="95">
        <v>251</v>
      </c>
      <c r="D34" s="95">
        <v>172</v>
      </c>
      <c r="E34" s="95">
        <v>79</v>
      </c>
      <c r="F34" s="95">
        <v>132</v>
      </c>
      <c r="G34" s="95">
        <v>60</v>
      </c>
      <c r="H34" s="170">
        <f t="shared" si="0"/>
        <v>79</v>
      </c>
      <c r="I34" s="171">
        <f t="shared" si="1"/>
        <v>59.848484848484851</v>
      </c>
      <c r="J34" s="171">
        <f t="shared" si="2"/>
        <v>78.55113636363636</v>
      </c>
      <c r="K34" s="171">
        <f t="shared" si="3"/>
        <v>65.459280303030297</v>
      </c>
      <c r="L34" s="171">
        <f t="shared" si="4"/>
        <v>3.2729640151515151</v>
      </c>
    </row>
    <row r="35" spans="1:12" ht="30" customHeight="1">
      <c r="A35" s="74">
        <v>33</v>
      </c>
      <c r="B35" s="124" t="s">
        <v>180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170">
        <f t="shared" si="0"/>
        <v>0</v>
      </c>
      <c r="I35" s="171">
        <f t="shared" si="1"/>
        <v>0</v>
      </c>
      <c r="J35" s="171">
        <f t="shared" si="2"/>
        <v>0</v>
      </c>
      <c r="K35" s="171">
        <f t="shared" si="3"/>
        <v>50</v>
      </c>
      <c r="L35" s="171">
        <f t="shared" si="4"/>
        <v>2.5</v>
      </c>
    </row>
    <row r="36" spans="1:12" ht="27" customHeight="1">
      <c r="A36" s="195" t="s">
        <v>8</v>
      </c>
      <c r="B36" s="195"/>
      <c r="C36" s="77">
        <f>SUM(C3:C35)</f>
        <v>5737</v>
      </c>
      <c r="D36" s="77">
        <f t="shared" ref="D36:H36" si="5">SUM(D3:D35)</f>
        <v>4026</v>
      </c>
      <c r="E36" s="77">
        <f t="shared" si="5"/>
        <v>1711</v>
      </c>
      <c r="F36" s="77">
        <f t="shared" si="5"/>
        <v>3026</v>
      </c>
      <c r="G36" s="77">
        <f t="shared" si="5"/>
        <v>1448</v>
      </c>
      <c r="H36" s="172">
        <f t="shared" si="5"/>
        <v>1711</v>
      </c>
      <c r="I36" s="173">
        <f>AVERAGE(I3:I35)</f>
        <v>49.694890671098719</v>
      </c>
      <c r="J36" s="173">
        <f t="shared" ref="J36:L36" si="6">AVERAGE(J3:J35)</f>
        <v>65.224544005817052</v>
      </c>
      <c r="K36" s="173">
        <f t="shared" si="6"/>
        <v>58.899241216968761</v>
      </c>
      <c r="L36" s="173">
        <f t="shared" si="6"/>
        <v>2.9449620608484381</v>
      </c>
    </row>
    <row r="37" spans="1:12">
      <c r="B37" s="79"/>
      <c r="C37" s="80"/>
      <c r="D37" s="80"/>
      <c r="E37" s="80"/>
      <c r="F37" s="80"/>
      <c r="G37" s="80"/>
      <c r="H37" s="80"/>
      <c r="I37" s="81"/>
      <c r="J37" s="81"/>
      <c r="K37" s="80"/>
    </row>
    <row r="38" spans="1:12">
      <c r="B38" s="79"/>
      <c r="C38" s="80"/>
      <c r="D38" s="80"/>
      <c r="E38" s="80"/>
      <c r="F38" s="80"/>
      <c r="G38" s="80"/>
      <c r="H38" s="80"/>
      <c r="I38" s="81"/>
      <c r="J38" s="81"/>
      <c r="K38" s="80"/>
    </row>
    <row r="39" spans="1:12">
      <c r="B39" s="79"/>
      <c r="C39" s="80"/>
      <c r="D39" s="80"/>
      <c r="E39" s="80"/>
      <c r="F39" s="80"/>
      <c r="G39" s="80"/>
      <c r="H39" s="80"/>
      <c r="I39" s="81"/>
      <c r="J39" s="81"/>
      <c r="K39" s="80"/>
    </row>
    <row r="40" spans="1:12" ht="13.65" customHeight="1">
      <c r="B40" s="79"/>
      <c r="C40" s="80"/>
      <c r="D40" s="80"/>
      <c r="E40" s="80"/>
      <c r="F40" s="80"/>
      <c r="G40" s="80"/>
      <c r="H40" s="80"/>
      <c r="I40" s="81"/>
      <c r="J40" s="81"/>
      <c r="K40" s="80"/>
    </row>
    <row r="41" spans="1:12">
      <c r="B41" s="79"/>
      <c r="C41" s="80"/>
      <c r="D41" s="80"/>
      <c r="E41" s="80"/>
      <c r="F41" s="80"/>
      <c r="G41" s="80"/>
      <c r="H41" s="80"/>
      <c r="I41" s="81"/>
      <c r="J41" s="81"/>
      <c r="K41" s="80"/>
    </row>
    <row r="42" spans="1:12">
      <c r="B42" s="79"/>
      <c r="C42" s="80"/>
      <c r="D42" s="80"/>
      <c r="E42" s="80"/>
      <c r="F42" s="80"/>
      <c r="G42" s="80"/>
      <c r="H42" s="80"/>
      <c r="I42" s="81"/>
      <c r="J42" s="81"/>
      <c r="K42" s="80"/>
    </row>
    <row r="43" spans="1:12">
      <c r="B43" s="79"/>
      <c r="C43" s="80"/>
      <c r="D43" s="80"/>
      <c r="E43" s="80"/>
      <c r="F43" s="80"/>
      <c r="G43" s="80"/>
      <c r="H43" s="80"/>
      <c r="I43" s="81"/>
      <c r="J43" s="81"/>
      <c r="K43" s="80"/>
    </row>
    <row r="44" spans="1:12">
      <c r="B44" s="79"/>
      <c r="C44" s="80"/>
      <c r="D44" s="80"/>
      <c r="E44" s="80"/>
      <c r="F44" s="80"/>
      <c r="G44" s="80"/>
      <c r="H44" s="80"/>
      <c r="I44" s="81"/>
      <c r="J44" s="81"/>
      <c r="K44" s="80"/>
    </row>
    <row r="45" spans="1:12">
      <c r="B45" s="79"/>
      <c r="C45" s="80"/>
      <c r="D45" s="80"/>
      <c r="E45" s="80"/>
      <c r="F45" s="80"/>
      <c r="G45" s="80"/>
      <c r="H45" s="80"/>
      <c r="I45" s="81"/>
      <c r="J45" s="81"/>
      <c r="K45" s="80"/>
    </row>
    <row r="46" spans="1:12">
      <c r="B46" s="79"/>
      <c r="C46" s="80"/>
      <c r="D46" s="80"/>
      <c r="E46" s="80"/>
      <c r="F46" s="80"/>
      <c r="G46" s="80"/>
      <c r="H46" s="80"/>
      <c r="I46" s="81"/>
      <c r="J46" s="81"/>
      <c r="K46" s="80"/>
    </row>
    <row r="47" spans="1:12">
      <c r="B47" s="79"/>
      <c r="C47" s="80"/>
      <c r="D47" s="80"/>
      <c r="E47" s="80"/>
      <c r="F47" s="80"/>
      <c r="G47" s="80"/>
      <c r="H47" s="80"/>
      <c r="I47" s="81"/>
      <c r="J47" s="81"/>
      <c r="K47" s="80"/>
    </row>
    <row r="48" spans="1:12">
      <c r="B48" s="79"/>
      <c r="C48" s="80"/>
      <c r="D48" s="80"/>
      <c r="E48" s="80"/>
      <c r="F48" s="80"/>
      <c r="G48" s="80"/>
      <c r="H48" s="80"/>
      <c r="I48" s="81"/>
      <c r="J48" s="81"/>
      <c r="K48" s="80"/>
    </row>
    <row r="49" spans="2:11">
      <c r="B49" s="79"/>
      <c r="C49" s="80"/>
      <c r="D49" s="80"/>
      <c r="E49" s="80"/>
      <c r="F49" s="80"/>
      <c r="G49" s="80"/>
      <c r="H49" s="80"/>
      <c r="I49" s="81"/>
      <c r="J49" s="81"/>
      <c r="K49" s="80"/>
    </row>
    <row r="50" spans="2:11">
      <c r="B50" s="79"/>
      <c r="C50" s="80"/>
      <c r="D50" s="80"/>
      <c r="E50" s="80"/>
      <c r="F50" s="80"/>
      <c r="G50" s="80"/>
      <c r="H50" s="80"/>
      <c r="I50" s="81"/>
      <c r="J50" s="81"/>
      <c r="K50" s="80"/>
    </row>
    <row r="51" spans="2:11">
      <c r="B51" s="79"/>
      <c r="C51" s="80"/>
      <c r="D51" s="80"/>
      <c r="E51" s="80"/>
      <c r="F51" s="80"/>
      <c r="G51" s="80"/>
      <c r="H51" s="80"/>
      <c r="I51" s="81"/>
      <c r="J51" s="81"/>
      <c r="K51" s="80"/>
    </row>
    <row r="52" spans="2:11">
      <c r="B52" s="79"/>
      <c r="C52" s="80"/>
      <c r="D52" s="80"/>
      <c r="E52" s="80"/>
      <c r="F52" s="80"/>
      <c r="G52" s="80"/>
      <c r="H52" s="80"/>
      <c r="I52" s="81"/>
      <c r="J52" s="81"/>
      <c r="K52" s="80"/>
    </row>
    <row r="53" spans="2:11">
      <c r="B53" s="79"/>
      <c r="C53" s="80"/>
      <c r="D53" s="80"/>
      <c r="E53" s="80"/>
      <c r="F53" s="80"/>
      <c r="G53" s="80"/>
      <c r="H53" s="80"/>
      <c r="I53" s="81"/>
      <c r="J53" s="81"/>
      <c r="K53" s="80"/>
    </row>
  </sheetData>
  <mergeCells count="2">
    <mergeCell ref="A1:L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10DA-77B2-4D22-9B7B-BE8C7D0E768B}">
  <sheetPr codeName="Sheet39">
    <tabColor theme="1"/>
    <pageSetUpPr fitToPage="1"/>
  </sheetPr>
  <dimension ref="A1:F36"/>
  <sheetViews>
    <sheetView zoomScale="130" zoomScaleNormal="130" workbookViewId="0">
      <pane ySplit="3" topLeftCell="A4" activePane="bottomLeft" state="frozen"/>
      <selection pane="bottomLeft" activeCell="E4" sqref="E4"/>
    </sheetView>
  </sheetViews>
  <sheetFormatPr defaultRowHeight="14.4"/>
  <cols>
    <col min="1" max="1" width="7.33203125" customWidth="1"/>
    <col min="2" max="2" width="20.5546875" bestFit="1" customWidth="1"/>
    <col min="3" max="3" width="12.109375" customWidth="1"/>
    <col min="4" max="4" width="16.44140625" customWidth="1"/>
    <col min="5" max="5" width="13.109375" customWidth="1"/>
    <col min="6" max="6" width="6.88671875" bestFit="1" customWidth="1"/>
  </cols>
  <sheetData>
    <row r="1" spans="1:6" ht="18" customHeight="1">
      <c r="A1" s="227" t="s">
        <v>80</v>
      </c>
      <c r="B1" s="227"/>
      <c r="C1" s="227"/>
      <c r="D1" s="227"/>
      <c r="E1" s="227"/>
      <c r="F1" s="227"/>
    </row>
    <row r="2" spans="1:6" ht="18" customHeight="1">
      <c r="A2" s="228" t="s">
        <v>84</v>
      </c>
      <c r="B2" s="228"/>
      <c r="C2" s="228"/>
      <c r="D2" s="228"/>
      <c r="E2" s="228"/>
      <c r="F2" s="228"/>
    </row>
    <row r="3" spans="1:6" ht="52.35" customHeight="1">
      <c r="A3" s="84" t="s">
        <v>12</v>
      </c>
      <c r="B3" s="84" t="s">
        <v>81</v>
      </c>
      <c r="C3" s="84" t="s">
        <v>190</v>
      </c>
      <c r="D3" s="84" t="s">
        <v>82</v>
      </c>
      <c r="E3" s="85" t="s">
        <v>83</v>
      </c>
      <c r="F3" s="84" t="s">
        <v>7</v>
      </c>
    </row>
    <row r="4" spans="1:6" ht="17.100000000000001" customHeight="1">
      <c r="A4" s="86">
        <v>1</v>
      </c>
      <c r="B4" s="124" t="s">
        <v>148</v>
      </c>
      <c r="C4" s="87">
        <v>0</v>
      </c>
      <c r="D4" s="86">
        <v>0</v>
      </c>
      <c r="E4" s="174">
        <f>IF(C4=0,100,D4*100/C4)</f>
        <v>100</v>
      </c>
      <c r="F4" s="174">
        <f>E4*5%</f>
        <v>5</v>
      </c>
    </row>
    <row r="5" spans="1:6" ht="17.100000000000001" customHeight="1">
      <c r="A5" s="86">
        <v>2</v>
      </c>
      <c r="B5" s="124" t="s">
        <v>149</v>
      </c>
      <c r="C5" s="87">
        <v>6</v>
      </c>
      <c r="D5" s="86">
        <v>1</v>
      </c>
      <c r="E5" s="174">
        <f t="shared" ref="E5:E36" si="0">IF(C5=0,100,D5*100/C5)</f>
        <v>16.666666666666668</v>
      </c>
      <c r="F5" s="174">
        <f t="shared" ref="F5:F36" si="1">E5*5%</f>
        <v>0.83333333333333348</v>
      </c>
    </row>
    <row r="6" spans="1:6" ht="17.100000000000001" customHeight="1">
      <c r="A6" s="86">
        <v>3</v>
      </c>
      <c r="B6" s="124" t="s">
        <v>150</v>
      </c>
      <c r="C6" s="87">
        <v>8</v>
      </c>
      <c r="D6" s="86">
        <v>1</v>
      </c>
      <c r="E6" s="174">
        <f t="shared" si="0"/>
        <v>12.5</v>
      </c>
      <c r="F6" s="174">
        <f t="shared" si="1"/>
        <v>0.625</v>
      </c>
    </row>
    <row r="7" spans="1:6" ht="17.100000000000001" customHeight="1">
      <c r="A7" s="86">
        <v>4</v>
      </c>
      <c r="B7" s="124" t="s">
        <v>151</v>
      </c>
      <c r="C7" s="87">
        <v>2</v>
      </c>
      <c r="D7" s="86">
        <v>2</v>
      </c>
      <c r="E7" s="174">
        <f t="shared" si="0"/>
        <v>100</v>
      </c>
      <c r="F7" s="174">
        <f t="shared" si="1"/>
        <v>5</v>
      </c>
    </row>
    <row r="8" spans="1:6" ht="17.100000000000001" customHeight="1">
      <c r="A8" s="86">
        <v>5</v>
      </c>
      <c r="B8" s="124" t="s">
        <v>152</v>
      </c>
      <c r="C8" s="87">
        <v>4</v>
      </c>
      <c r="D8" s="86">
        <v>1</v>
      </c>
      <c r="E8" s="174">
        <f t="shared" si="0"/>
        <v>25</v>
      </c>
      <c r="F8" s="174">
        <f t="shared" si="1"/>
        <v>1.25</v>
      </c>
    </row>
    <row r="9" spans="1:6" ht="17.100000000000001" customHeight="1">
      <c r="A9" s="86">
        <v>6</v>
      </c>
      <c r="B9" s="124" t="s">
        <v>153</v>
      </c>
      <c r="C9" s="87">
        <v>2</v>
      </c>
      <c r="D9" s="86">
        <v>2</v>
      </c>
      <c r="E9" s="174">
        <f t="shared" si="0"/>
        <v>100</v>
      </c>
      <c r="F9" s="174">
        <f t="shared" si="1"/>
        <v>5</v>
      </c>
    </row>
    <row r="10" spans="1:6" ht="17.100000000000001" customHeight="1">
      <c r="A10" s="86">
        <v>7</v>
      </c>
      <c r="B10" s="124" t="s">
        <v>154</v>
      </c>
      <c r="C10" s="87">
        <v>1</v>
      </c>
      <c r="D10" s="86">
        <v>1</v>
      </c>
      <c r="E10" s="174">
        <f t="shared" si="0"/>
        <v>100</v>
      </c>
      <c r="F10" s="174">
        <f t="shared" si="1"/>
        <v>5</v>
      </c>
    </row>
    <row r="11" spans="1:6" ht="17.100000000000001" customHeight="1">
      <c r="A11" s="86">
        <v>8</v>
      </c>
      <c r="B11" s="124" t="s">
        <v>155</v>
      </c>
      <c r="C11" s="87">
        <v>6</v>
      </c>
      <c r="D11" s="86">
        <v>2</v>
      </c>
      <c r="E11" s="174">
        <f t="shared" si="0"/>
        <v>33.333333333333336</v>
      </c>
      <c r="F11" s="174">
        <f t="shared" si="1"/>
        <v>1.666666666666667</v>
      </c>
    </row>
    <row r="12" spans="1:6" ht="17.100000000000001" customHeight="1">
      <c r="A12" s="86">
        <v>9</v>
      </c>
      <c r="B12" s="124" t="s">
        <v>156</v>
      </c>
      <c r="C12" s="87">
        <v>1</v>
      </c>
      <c r="D12" s="86">
        <v>1</v>
      </c>
      <c r="E12" s="174">
        <f t="shared" si="0"/>
        <v>100</v>
      </c>
      <c r="F12" s="174">
        <f t="shared" si="1"/>
        <v>5</v>
      </c>
    </row>
    <row r="13" spans="1:6" ht="17.100000000000001" customHeight="1">
      <c r="A13" s="86">
        <v>10</v>
      </c>
      <c r="B13" s="124" t="s">
        <v>157</v>
      </c>
      <c r="C13" s="87">
        <v>3</v>
      </c>
      <c r="D13" s="86">
        <v>2</v>
      </c>
      <c r="E13" s="174">
        <f t="shared" si="0"/>
        <v>66.666666666666671</v>
      </c>
      <c r="F13" s="174">
        <f t="shared" si="1"/>
        <v>3.3333333333333339</v>
      </c>
    </row>
    <row r="14" spans="1:6" ht="17.100000000000001" customHeight="1">
      <c r="A14" s="86">
        <v>11</v>
      </c>
      <c r="B14" s="124" t="s">
        <v>158</v>
      </c>
      <c r="C14" s="87">
        <v>1</v>
      </c>
      <c r="D14" s="86">
        <v>1</v>
      </c>
      <c r="E14" s="174">
        <f t="shared" si="0"/>
        <v>100</v>
      </c>
      <c r="F14" s="174">
        <f t="shared" si="1"/>
        <v>5</v>
      </c>
    </row>
    <row r="15" spans="1:6" ht="17.100000000000001" customHeight="1">
      <c r="A15" s="86">
        <v>12</v>
      </c>
      <c r="B15" s="124" t="s">
        <v>159</v>
      </c>
      <c r="C15" s="87">
        <v>1</v>
      </c>
      <c r="D15" s="86">
        <v>1</v>
      </c>
      <c r="E15" s="174">
        <f t="shared" si="0"/>
        <v>100</v>
      </c>
      <c r="F15" s="174">
        <f t="shared" si="1"/>
        <v>5</v>
      </c>
    </row>
    <row r="16" spans="1:6" ht="17.100000000000001" customHeight="1">
      <c r="A16" s="86">
        <v>13</v>
      </c>
      <c r="B16" s="124" t="s">
        <v>160</v>
      </c>
      <c r="C16" s="87">
        <v>4</v>
      </c>
      <c r="D16" s="86">
        <v>1</v>
      </c>
      <c r="E16" s="174">
        <f t="shared" si="0"/>
        <v>25</v>
      </c>
      <c r="F16" s="174">
        <f t="shared" si="1"/>
        <v>1.25</v>
      </c>
    </row>
    <row r="17" spans="1:6" ht="17.100000000000001" customHeight="1">
      <c r="A17" s="86">
        <v>14</v>
      </c>
      <c r="B17" s="124" t="s">
        <v>161</v>
      </c>
      <c r="C17" s="87">
        <v>2</v>
      </c>
      <c r="D17" s="86">
        <v>1</v>
      </c>
      <c r="E17" s="174">
        <f t="shared" si="0"/>
        <v>50</v>
      </c>
      <c r="F17" s="174">
        <f t="shared" si="1"/>
        <v>2.5</v>
      </c>
    </row>
    <row r="18" spans="1:6" ht="17.100000000000001" customHeight="1">
      <c r="A18" s="86">
        <v>15</v>
      </c>
      <c r="B18" s="124" t="s">
        <v>162</v>
      </c>
      <c r="C18" s="87">
        <v>1</v>
      </c>
      <c r="D18" s="86">
        <v>0</v>
      </c>
      <c r="E18" s="174">
        <f t="shared" si="0"/>
        <v>0</v>
      </c>
      <c r="F18" s="174">
        <f t="shared" si="1"/>
        <v>0</v>
      </c>
    </row>
    <row r="19" spans="1:6" ht="17.100000000000001" customHeight="1">
      <c r="A19" s="86">
        <v>16</v>
      </c>
      <c r="B19" s="124" t="s">
        <v>163</v>
      </c>
      <c r="C19" s="87">
        <v>2</v>
      </c>
      <c r="D19" s="86">
        <v>1</v>
      </c>
      <c r="E19" s="174">
        <f t="shared" si="0"/>
        <v>50</v>
      </c>
      <c r="F19" s="174">
        <f t="shared" si="1"/>
        <v>2.5</v>
      </c>
    </row>
    <row r="20" spans="1:6" ht="17.100000000000001" customHeight="1">
      <c r="A20" s="86">
        <v>17</v>
      </c>
      <c r="B20" s="124" t="s">
        <v>164</v>
      </c>
      <c r="C20" s="87">
        <v>2</v>
      </c>
      <c r="D20" s="86">
        <v>1</v>
      </c>
      <c r="E20" s="174">
        <f t="shared" si="0"/>
        <v>50</v>
      </c>
      <c r="F20" s="174">
        <f t="shared" si="1"/>
        <v>2.5</v>
      </c>
    </row>
    <row r="21" spans="1:6" ht="17.100000000000001" customHeight="1">
      <c r="A21" s="86">
        <v>18</v>
      </c>
      <c r="B21" s="124" t="s">
        <v>165</v>
      </c>
      <c r="C21" s="87">
        <v>1</v>
      </c>
      <c r="D21" s="86">
        <v>1</v>
      </c>
      <c r="E21" s="174">
        <f t="shared" si="0"/>
        <v>100</v>
      </c>
      <c r="F21" s="174">
        <f t="shared" si="1"/>
        <v>5</v>
      </c>
    </row>
    <row r="22" spans="1:6" ht="17.100000000000001" customHeight="1">
      <c r="A22" s="86">
        <v>19</v>
      </c>
      <c r="B22" s="124" t="s">
        <v>166</v>
      </c>
      <c r="C22" s="87">
        <v>1</v>
      </c>
      <c r="D22" s="86">
        <v>1</v>
      </c>
      <c r="E22" s="174">
        <f t="shared" si="0"/>
        <v>100</v>
      </c>
      <c r="F22" s="174">
        <f t="shared" si="1"/>
        <v>5</v>
      </c>
    </row>
    <row r="23" spans="1:6" ht="17.100000000000001" customHeight="1">
      <c r="A23" s="86">
        <v>20</v>
      </c>
      <c r="B23" s="124" t="s">
        <v>167</v>
      </c>
      <c r="C23" s="87">
        <v>1</v>
      </c>
      <c r="D23" s="86">
        <v>0</v>
      </c>
      <c r="E23" s="174">
        <f t="shared" si="0"/>
        <v>0</v>
      </c>
      <c r="F23" s="174">
        <f t="shared" si="1"/>
        <v>0</v>
      </c>
    </row>
    <row r="24" spans="1:6" ht="17.100000000000001" customHeight="1">
      <c r="A24" s="86">
        <v>21</v>
      </c>
      <c r="B24" s="124" t="s">
        <v>168</v>
      </c>
      <c r="C24" s="87">
        <v>1</v>
      </c>
      <c r="D24" s="86">
        <v>1</v>
      </c>
      <c r="E24" s="174">
        <f t="shared" si="0"/>
        <v>100</v>
      </c>
      <c r="F24" s="174">
        <f t="shared" si="1"/>
        <v>5</v>
      </c>
    </row>
    <row r="25" spans="1:6" ht="17.100000000000001" customHeight="1">
      <c r="A25" s="86">
        <v>22</v>
      </c>
      <c r="B25" s="124" t="s">
        <v>169</v>
      </c>
      <c r="C25" s="87">
        <v>5</v>
      </c>
      <c r="D25" s="86">
        <v>1</v>
      </c>
      <c r="E25" s="174">
        <f t="shared" si="0"/>
        <v>20</v>
      </c>
      <c r="F25" s="174">
        <f t="shared" si="1"/>
        <v>1</v>
      </c>
    </row>
    <row r="26" spans="1:6" ht="17.100000000000001" customHeight="1">
      <c r="A26" s="86">
        <v>23</v>
      </c>
      <c r="B26" s="124" t="s">
        <v>170</v>
      </c>
      <c r="C26" s="87">
        <v>5</v>
      </c>
      <c r="D26" s="86">
        <v>1</v>
      </c>
      <c r="E26" s="174">
        <f t="shared" si="0"/>
        <v>20</v>
      </c>
      <c r="F26" s="174">
        <f t="shared" si="1"/>
        <v>1</v>
      </c>
    </row>
    <row r="27" spans="1:6" ht="17.100000000000001" customHeight="1">
      <c r="A27" s="86">
        <v>24</v>
      </c>
      <c r="B27" s="124" t="s">
        <v>171</v>
      </c>
      <c r="C27" s="87">
        <v>4</v>
      </c>
      <c r="D27" s="86">
        <v>1</v>
      </c>
      <c r="E27" s="174">
        <f t="shared" si="0"/>
        <v>25</v>
      </c>
      <c r="F27" s="174">
        <f t="shared" si="1"/>
        <v>1.25</v>
      </c>
    </row>
    <row r="28" spans="1:6" ht="17.100000000000001" customHeight="1">
      <c r="A28" s="86">
        <v>25</v>
      </c>
      <c r="B28" s="124" t="s">
        <v>172</v>
      </c>
      <c r="C28" s="87">
        <v>2</v>
      </c>
      <c r="D28" s="86">
        <v>1</v>
      </c>
      <c r="E28" s="174">
        <f t="shared" si="0"/>
        <v>50</v>
      </c>
      <c r="F28" s="174">
        <f t="shared" si="1"/>
        <v>2.5</v>
      </c>
    </row>
    <row r="29" spans="1:6" ht="17.100000000000001" customHeight="1">
      <c r="A29" s="86">
        <v>26</v>
      </c>
      <c r="B29" s="124" t="s">
        <v>173</v>
      </c>
      <c r="C29" s="87">
        <v>1</v>
      </c>
      <c r="D29" s="86">
        <v>1</v>
      </c>
      <c r="E29" s="174">
        <f t="shared" si="0"/>
        <v>100</v>
      </c>
      <c r="F29" s="174">
        <f t="shared" si="1"/>
        <v>5</v>
      </c>
    </row>
    <row r="30" spans="1:6" ht="17.100000000000001" customHeight="1">
      <c r="A30" s="86">
        <v>27</v>
      </c>
      <c r="B30" s="124" t="s">
        <v>174</v>
      </c>
      <c r="C30" s="87">
        <v>3</v>
      </c>
      <c r="D30" s="86">
        <v>1</v>
      </c>
      <c r="E30" s="174">
        <f t="shared" si="0"/>
        <v>33.333333333333336</v>
      </c>
      <c r="F30" s="174">
        <f t="shared" si="1"/>
        <v>1.666666666666667</v>
      </c>
    </row>
    <row r="31" spans="1:6" ht="17.100000000000001" customHeight="1">
      <c r="A31" s="86">
        <v>28</v>
      </c>
      <c r="B31" s="124" t="s">
        <v>175</v>
      </c>
      <c r="C31" s="87">
        <v>4</v>
      </c>
      <c r="D31" s="86">
        <v>1</v>
      </c>
      <c r="E31" s="174">
        <f t="shared" si="0"/>
        <v>25</v>
      </c>
      <c r="F31" s="174">
        <f t="shared" si="1"/>
        <v>1.25</v>
      </c>
    </row>
    <row r="32" spans="1:6" ht="17.100000000000001" customHeight="1">
      <c r="A32" s="86">
        <v>29</v>
      </c>
      <c r="B32" s="124" t="s">
        <v>176</v>
      </c>
      <c r="C32" s="87">
        <v>1</v>
      </c>
      <c r="D32" s="86">
        <v>1</v>
      </c>
      <c r="E32" s="174">
        <f t="shared" si="0"/>
        <v>100</v>
      </c>
      <c r="F32" s="174">
        <f t="shared" si="1"/>
        <v>5</v>
      </c>
    </row>
    <row r="33" spans="1:6" ht="17.100000000000001" customHeight="1">
      <c r="A33" s="86">
        <v>30</v>
      </c>
      <c r="B33" s="124" t="s">
        <v>177</v>
      </c>
      <c r="C33" s="87">
        <v>4</v>
      </c>
      <c r="D33" s="86">
        <v>1</v>
      </c>
      <c r="E33" s="174">
        <f t="shared" si="0"/>
        <v>25</v>
      </c>
      <c r="F33" s="174">
        <f t="shared" si="1"/>
        <v>1.25</v>
      </c>
    </row>
    <row r="34" spans="1:6" ht="17.100000000000001" customHeight="1">
      <c r="A34" s="86">
        <v>31</v>
      </c>
      <c r="B34" s="124" t="s">
        <v>178</v>
      </c>
      <c r="C34" s="87">
        <v>4</v>
      </c>
      <c r="D34" s="86">
        <v>4</v>
      </c>
      <c r="E34" s="174">
        <f t="shared" si="0"/>
        <v>100</v>
      </c>
      <c r="F34" s="174">
        <f t="shared" si="1"/>
        <v>5</v>
      </c>
    </row>
    <row r="35" spans="1:6" ht="17.100000000000001" customHeight="1">
      <c r="A35" s="86">
        <v>32</v>
      </c>
      <c r="B35" s="124" t="s">
        <v>179</v>
      </c>
      <c r="C35" s="87">
        <v>1</v>
      </c>
      <c r="D35" s="86">
        <v>1</v>
      </c>
      <c r="E35" s="174">
        <f t="shared" si="0"/>
        <v>100</v>
      </c>
      <c r="F35" s="174">
        <f t="shared" si="1"/>
        <v>5</v>
      </c>
    </row>
    <row r="36" spans="1:6" ht="17.100000000000001" customHeight="1">
      <c r="A36" s="86">
        <v>33</v>
      </c>
      <c r="B36" s="124" t="s">
        <v>180</v>
      </c>
      <c r="C36" s="87">
        <v>4</v>
      </c>
      <c r="D36" s="86">
        <v>4</v>
      </c>
      <c r="E36" s="174">
        <f t="shared" si="0"/>
        <v>100</v>
      </c>
      <c r="F36" s="174">
        <f t="shared" si="1"/>
        <v>5</v>
      </c>
    </row>
  </sheetData>
  <mergeCells count="2">
    <mergeCell ref="A1:F1"/>
    <mergeCell ref="A2:F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4" fitToHeight="0" orientation="portrait" horizontalDpi="200" verticalDpi="2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9190-EE82-475E-8AEB-C655159C3845}">
  <sheetPr codeName="Sheet56">
    <tabColor rgb="FFFFC000"/>
    <pageSetUpPr fitToPage="1"/>
  </sheetPr>
  <dimension ref="A1:L38"/>
  <sheetViews>
    <sheetView zoomScale="115" zoomScaleNormal="115" workbookViewId="0">
      <pane ySplit="2" topLeftCell="A3" activePane="bottomLeft" state="frozen"/>
      <selection pane="bottomLeft" activeCell="B3" sqref="B3:L3"/>
    </sheetView>
  </sheetViews>
  <sheetFormatPr defaultRowHeight="14.4"/>
  <cols>
    <col min="1" max="1" width="5.44140625" bestFit="1" customWidth="1"/>
    <col min="2" max="2" width="26.5546875" style="91" bestFit="1" customWidth="1"/>
    <col min="3" max="3" width="13.33203125" customWidth="1"/>
    <col min="4" max="4" width="14.109375" customWidth="1"/>
    <col min="5" max="5" width="12.5546875" style="13" bestFit="1" customWidth="1"/>
    <col min="6" max="6" width="12.5546875" customWidth="1"/>
    <col min="7" max="7" width="9" bestFit="1" customWidth="1"/>
    <col min="8" max="8" width="13.44140625" customWidth="1"/>
    <col min="9" max="9" width="14.88671875" style="13" customWidth="1"/>
    <col min="12" max="12" width="10.44140625" customWidth="1"/>
  </cols>
  <sheetData>
    <row r="1" spans="1:12" ht="34.35" customHeight="1">
      <c r="A1" s="229" t="s">
        <v>94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</row>
    <row r="2" spans="1:12" ht="46.65" customHeight="1">
      <c r="A2" s="88" t="s">
        <v>12</v>
      </c>
      <c r="B2" s="88" t="s">
        <v>81</v>
      </c>
      <c r="C2" s="89" t="s">
        <v>85</v>
      </c>
      <c r="D2" s="89" t="s">
        <v>86</v>
      </c>
      <c r="E2" s="175" t="s">
        <v>87</v>
      </c>
      <c r="F2" s="153" t="s">
        <v>88</v>
      </c>
      <c r="G2" s="89" t="s">
        <v>89</v>
      </c>
      <c r="H2" s="89" t="s">
        <v>90</v>
      </c>
      <c r="I2" s="153" t="s">
        <v>91</v>
      </c>
      <c r="J2" s="153" t="s">
        <v>88</v>
      </c>
      <c r="K2" s="153" t="s">
        <v>92</v>
      </c>
      <c r="L2" s="175" t="s">
        <v>93</v>
      </c>
    </row>
    <row r="3" spans="1:12" s="17" customFormat="1" ht="24.9" customHeight="1">
      <c r="A3" s="16">
        <v>1</v>
      </c>
      <c r="B3" s="124" t="s">
        <v>148</v>
      </c>
      <c r="C3" s="16">
        <v>107</v>
      </c>
      <c r="D3" s="16">
        <v>95</v>
      </c>
      <c r="E3" s="176">
        <f>IFERROR(D3*100/C3,"")</f>
        <v>88.785046728971963</v>
      </c>
      <c r="F3" s="176">
        <f>E3*2.5%</f>
        <v>2.2196261682242993</v>
      </c>
      <c r="G3" s="16">
        <v>94</v>
      </c>
      <c r="H3" s="16">
        <v>62</v>
      </c>
      <c r="I3" s="176">
        <f>IFERROR(H3*100/G3,"")</f>
        <v>65.957446808510639</v>
      </c>
      <c r="J3" s="159">
        <f>I3*2.5%</f>
        <v>1.6489361702127661</v>
      </c>
      <c r="K3" s="159">
        <f>F3+J3</f>
        <v>3.8685623384370653</v>
      </c>
      <c r="L3" s="159">
        <f>IFERROR((E3+I3)/2,"")</f>
        <v>77.371246768741301</v>
      </c>
    </row>
    <row r="4" spans="1:12" s="17" customFormat="1" ht="24.6" customHeight="1">
      <c r="A4" s="16">
        <v>2</v>
      </c>
      <c r="B4" s="124" t="s">
        <v>149</v>
      </c>
      <c r="C4" s="16">
        <v>313</v>
      </c>
      <c r="D4" s="16">
        <v>154</v>
      </c>
      <c r="E4" s="176">
        <f t="shared" ref="E4:F36" si="0">IFERROR(D4*100/C4,"")</f>
        <v>49.201277955271564</v>
      </c>
      <c r="F4" s="176">
        <f t="shared" ref="F4:F35" si="1">E4*2.5%</f>
        <v>1.2300319488817892</v>
      </c>
      <c r="G4" s="16">
        <v>221</v>
      </c>
      <c r="H4" s="16">
        <v>209</v>
      </c>
      <c r="I4" s="176">
        <f t="shared" ref="I4:I36" si="2">IFERROR(H4*100/G4,"")</f>
        <v>94.57013574660634</v>
      </c>
      <c r="J4" s="159">
        <f t="shared" ref="J4:J35" si="3">I4*2.5%</f>
        <v>2.3642533936651584</v>
      </c>
      <c r="K4" s="159">
        <f t="shared" ref="K4:K36" si="4">F4+J4</f>
        <v>3.5942853425469474</v>
      </c>
      <c r="L4" s="159">
        <f t="shared" ref="L4:L35" si="5">IFERROR((E4+I4)/2,"")</f>
        <v>71.885706850938959</v>
      </c>
    </row>
    <row r="5" spans="1:12" s="17" customFormat="1" ht="24.6" customHeight="1">
      <c r="A5" s="16">
        <v>3</v>
      </c>
      <c r="B5" s="124" t="s">
        <v>150</v>
      </c>
      <c r="C5" s="16">
        <v>304</v>
      </c>
      <c r="D5" s="16">
        <v>148</v>
      </c>
      <c r="E5" s="176">
        <f t="shared" si="0"/>
        <v>48.684210526315788</v>
      </c>
      <c r="F5" s="176">
        <f t="shared" si="1"/>
        <v>1.2171052631578947</v>
      </c>
      <c r="G5" s="16">
        <v>199</v>
      </c>
      <c r="H5" s="16">
        <v>176</v>
      </c>
      <c r="I5" s="176">
        <f t="shared" si="2"/>
        <v>88.442211055276388</v>
      </c>
      <c r="J5" s="159">
        <f t="shared" si="3"/>
        <v>2.2110552763819098</v>
      </c>
      <c r="K5" s="159">
        <f t="shared" si="4"/>
        <v>3.4281605395398045</v>
      </c>
      <c r="L5" s="159">
        <f t="shared" si="5"/>
        <v>68.563210790796091</v>
      </c>
    </row>
    <row r="6" spans="1:12" s="17" customFormat="1" ht="24.6" customHeight="1">
      <c r="A6" s="16">
        <v>4</v>
      </c>
      <c r="B6" s="124" t="s">
        <v>151</v>
      </c>
      <c r="C6" s="16">
        <v>231</v>
      </c>
      <c r="D6" s="16">
        <v>136</v>
      </c>
      <c r="E6" s="176">
        <f t="shared" si="0"/>
        <v>58.874458874458874</v>
      </c>
      <c r="F6" s="176">
        <f t="shared" si="1"/>
        <v>1.471861471861472</v>
      </c>
      <c r="G6" s="16">
        <v>201</v>
      </c>
      <c r="H6" s="16">
        <v>185</v>
      </c>
      <c r="I6" s="176">
        <f t="shared" si="2"/>
        <v>92.039800995024876</v>
      </c>
      <c r="J6" s="159">
        <f t="shared" si="3"/>
        <v>2.3009950248756219</v>
      </c>
      <c r="K6" s="159">
        <f t="shared" si="4"/>
        <v>3.7728564967370941</v>
      </c>
      <c r="L6" s="159">
        <f t="shared" si="5"/>
        <v>75.457129934741872</v>
      </c>
    </row>
    <row r="7" spans="1:12" s="17" customFormat="1" ht="24.6" customHeight="1">
      <c r="A7" s="16">
        <v>5</v>
      </c>
      <c r="B7" s="124" t="s">
        <v>152</v>
      </c>
      <c r="C7" s="16">
        <v>324</v>
      </c>
      <c r="D7" s="16">
        <v>261</v>
      </c>
      <c r="E7" s="176">
        <f t="shared" si="0"/>
        <v>80.555555555555557</v>
      </c>
      <c r="F7" s="176">
        <f t="shared" si="1"/>
        <v>2.0138888888888888</v>
      </c>
      <c r="G7" s="16">
        <v>245</v>
      </c>
      <c r="H7" s="16">
        <v>201</v>
      </c>
      <c r="I7" s="176">
        <f t="shared" si="2"/>
        <v>82.040816326530617</v>
      </c>
      <c r="J7" s="159">
        <f t="shared" si="3"/>
        <v>2.0510204081632657</v>
      </c>
      <c r="K7" s="159">
        <f t="shared" si="4"/>
        <v>4.0649092970521545</v>
      </c>
      <c r="L7" s="159">
        <f t="shared" si="5"/>
        <v>81.298185941043087</v>
      </c>
    </row>
    <row r="8" spans="1:12" s="17" customFormat="1" ht="24.6" customHeight="1">
      <c r="A8" s="16">
        <v>6</v>
      </c>
      <c r="B8" s="124" t="s">
        <v>153</v>
      </c>
      <c r="C8" s="16">
        <v>164</v>
      </c>
      <c r="D8" s="16">
        <v>130</v>
      </c>
      <c r="E8" s="176">
        <f t="shared" si="0"/>
        <v>79.268292682926827</v>
      </c>
      <c r="F8" s="176">
        <f t="shared" si="1"/>
        <v>1.9817073170731707</v>
      </c>
      <c r="G8" s="16">
        <v>134</v>
      </c>
      <c r="H8" s="16">
        <v>119</v>
      </c>
      <c r="I8" s="176">
        <f t="shared" si="2"/>
        <v>88.805970149253724</v>
      </c>
      <c r="J8" s="159">
        <f t="shared" si="3"/>
        <v>2.2201492537313432</v>
      </c>
      <c r="K8" s="159">
        <f t="shared" si="4"/>
        <v>4.2018565708045141</v>
      </c>
      <c r="L8" s="159">
        <f t="shared" si="5"/>
        <v>84.037131416090276</v>
      </c>
    </row>
    <row r="9" spans="1:12" s="17" customFormat="1" ht="24.6" customHeight="1">
      <c r="A9" s="16">
        <v>7</v>
      </c>
      <c r="B9" s="124" t="s">
        <v>154</v>
      </c>
      <c r="C9" s="16">
        <v>102</v>
      </c>
      <c r="D9" s="16">
        <v>81</v>
      </c>
      <c r="E9" s="176">
        <f t="shared" si="0"/>
        <v>79.411764705882348</v>
      </c>
      <c r="F9" s="176">
        <f t="shared" si="1"/>
        <v>1.9852941176470589</v>
      </c>
      <c r="G9" s="16">
        <v>79</v>
      </c>
      <c r="H9" s="16">
        <v>68</v>
      </c>
      <c r="I9" s="176">
        <f t="shared" si="2"/>
        <v>86.075949367088612</v>
      </c>
      <c r="J9" s="159">
        <f t="shared" si="3"/>
        <v>2.1518987341772156</v>
      </c>
      <c r="K9" s="159">
        <f t="shared" si="4"/>
        <v>4.137192851824274</v>
      </c>
      <c r="L9" s="159">
        <f t="shared" si="5"/>
        <v>82.74385703648548</v>
      </c>
    </row>
    <row r="10" spans="1:12" s="17" customFormat="1" ht="24.6" customHeight="1">
      <c r="A10" s="16">
        <v>8</v>
      </c>
      <c r="B10" s="124" t="s">
        <v>155</v>
      </c>
      <c r="C10" s="16">
        <v>369</v>
      </c>
      <c r="D10" s="16">
        <v>282</v>
      </c>
      <c r="E10" s="176">
        <f t="shared" si="0"/>
        <v>76.422764227642276</v>
      </c>
      <c r="F10" s="176">
        <f t="shared" si="1"/>
        <v>1.910569105691057</v>
      </c>
      <c r="G10" s="16">
        <v>248</v>
      </c>
      <c r="H10" s="16">
        <v>220</v>
      </c>
      <c r="I10" s="176">
        <f t="shared" si="2"/>
        <v>88.709677419354833</v>
      </c>
      <c r="J10" s="159">
        <f t="shared" si="3"/>
        <v>2.217741935483871</v>
      </c>
      <c r="K10" s="159">
        <f t="shared" si="4"/>
        <v>4.1283110411749284</v>
      </c>
      <c r="L10" s="159">
        <f t="shared" si="5"/>
        <v>82.566220823498554</v>
      </c>
    </row>
    <row r="11" spans="1:12" s="17" customFormat="1" ht="24.6" customHeight="1">
      <c r="A11" s="16">
        <v>9</v>
      </c>
      <c r="B11" s="124" t="s">
        <v>156</v>
      </c>
      <c r="C11" s="16">
        <v>178</v>
      </c>
      <c r="D11" s="16">
        <v>133</v>
      </c>
      <c r="E11" s="176">
        <f t="shared" si="0"/>
        <v>74.719101123595507</v>
      </c>
      <c r="F11" s="176">
        <f t="shared" si="1"/>
        <v>1.8679775280898878</v>
      </c>
      <c r="G11" s="16">
        <v>148</v>
      </c>
      <c r="H11" s="16">
        <v>119</v>
      </c>
      <c r="I11" s="176">
        <f t="shared" si="2"/>
        <v>80.405405405405403</v>
      </c>
      <c r="J11" s="159">
        <f t="shared" si="3"/>
        <v>2.0101351351351351</v>
      </c>
      <c r="K11" s="159">
        <f t="shared" si="4"/>
        <v>3.8781126632250231</v>
      </c>
      <c r="L11" s="159">
        <f t="shared" si="5"/>
        <v>77.562253264500455</v>
      </c>
    </row>
    <row r="12" spans="1:12" s="17" customFormat="1" ht="24.6" customHeight="1">
      <c r="A12" s="16">
        <v>10</v>
      </c>
      <c r="B12" s="124" t="s">
        <v>157</v>
      </c>
      <c r="C12" s="16">
        <v>135</v>
      </c>
      <c r="D12" s="16">
        <v>107</v>
      </c>
      <c r="E12" s="176">
        <f t="shared" si="0"/>
        <v>79.259259259259252</v>
      </c>
      <c r="F12" s="176">
        <f t="shared" si="1"/>
        <v>1.9814814814814814</v>
      </c>
      <c r="G12" s="16">
        <v>113</v>
      </c>
      <c r="H12" s="16">
        <v>85</v>
      </c>
      <c r="I12" s="176">
        <f t="shared" si="2"/>
        <v>75.221238938053091</v>
      </c>
      <c r="J12" s="159">
        <f t="shared" si="3"/>
        <v>1.8805309734513274</v>
      </c>
      <c r="K12" s="159">
        <f t="shared" si="4"/>
        <v>3.8620124549328088</v>
      </c>
      <c r="L12" s="159">
        <f t="shared" si="5"/>
        <v>77.240249098656165</v>
      </c>
    </row>
    <row r="13" spans="1:12" s="17" customFormat="1" ht="24.6" customHeight="1">
      <c r="A13" s="16">
        <v>11</v>
      </c>
      <c r="B13" s="124" t="s">
        <v>158</v>
      </c>
      <c r="C13" s="16">
        <v>69</v>
      </c>
      <c r="D13" s="16">
        <v>57</v>
      </c>
      <c r="E13" s="176">
        <f t="shared" si="0"/>
        <v>82.608695652173907</v>
      </c>
      <c r="F13" s="176">
        <f t="shared" si="1"/>
        <v>2.0652173913043477</v>
      </c>
      <c r="G13" s="16">
        <v>59</v>
      </c>
      <c r="H13" s="16">
        <v>48</v>
      </c>
      <c r="I13" s="176">
        <f t="shared" si="2"/>
        <v>81.355932203389827</v>
      </c>
      <c r="J13" s="159">
        <f t="shared" si="3"/>
        <v>2.0338983050847457</v>
      </c>
      <c r="K13" s="159">
        <f t="shared" si="4"/>
        <v>4.0991156963890933</v>
      </c>
      <c r="L13" s="159">
        <f t="shared" si="5"/>
        <v>81.98231392778186</v>
      </c>
    </row>
    <row r="14" spans="1:12" s="17" customFormat="1" ht="24.6" customHeight="1">
      <c r="A14" s="16">
        <v>12</v>
      </c>
      <c r="B14" s="124" t="s">
        <v>159</v>
      </c>
      <c r="C14" s="16">
        <v>115</v>
      </c>
      <c r="D14" s="16">
        <v>92</v>
      </c>
      <c r="E14" s="176">
        <f t="shared" si="0"/>
        <v>80</v>
      </c>
      <c r="F14" s="176">
        <f t="shared" si="1"/>
        <v>2</v>
      </c>
      <c r="G14" s="16">
        <v>93</v>
      </c>
      <c r="H14" s="16">
        <v>70</v>
      </c>
      <c r="I14" s="176">
        <f t="shared" si="2"/>
        <v>75.268817204301072</v>
      </c>
      <c r="J14" s="159">
        <f t="shared" si="3"/>
        <v>1.881720430107527</v>
      </c>
      <c r="K14" s="159">
        <f t="shared" si="4"/>
        <v>3.881720430107527</v>
      </c>
      <c r="L14" s="159">
        <f t="shared" si="5"/>
        <v>77.634408602150529</v>
      </c>
    </row>
    <row r="15" spans="1:12" s="17" customFormat="1" ht="24.6" customHeight="1">
      <c r="A15" s="16">
        <v>13</v>
      </c>
      <c r="B15" s="124" t="s">
        <v>160</v>
      </c>
      <c r="C15" s="16">
        <v>381</v>
      </c>
      <c r="D15" s="16">
        <v>217</v>
      </c>
      <c r="E15" s="176">
        <f t="shared" si="0"/>
        <v>56.955380577427825</v>
      </c>
      <c r="F15" s="176">
        <f t="shared" si="1"/>
        <v>1.4238845144356957</v>
      </c>
      <c r="G15" s="16">
        <v>307</v>
      </c>
      <c r="H15" s="16">
        <v>246</v>
      </c>
      <c r="I15" s="176">
        <f t="shared" si="2"/>
        <v>80.130293159609124</v>
      </c>
      <c r="J15" s="159">
        <f t="shared" si="3"/>
        <v>2.003257328990228</v>
      </c>
      <c r="K15" s="159">
        <f t="shared" si="4"/>
        <v>3.4271418434259235</v>
      </c>
      <c r="L15" s="159">
        <f t="shared" si="5"/>
        <v>68.542836868518478</v>
      </c>
    </row>
    <row r="16" spans="1:12" s="17" customFormat="1" ht="24.6" customHeight="1">
      <c r="A16" s="16">
        <v>14</v>
      </c>
      <c r="B16" s="124" t="s">
        <v>161</v>
      </c>
      <c r="C16" s="16">
        <v>144</v>
      </c>
      <c r="D16" s="16">
        <v>94</v>
      </c>
      <c r="E16" s="176">
        <f t="shared" si="0"/>
        <v>65.277777777777771</v>
      </c>
      <c r="F16" s="176">
        <f t="shared" si="1"/>
        <v>1.6319444444444444</v>
      </c>
      <c r="G16" s="16">
        <v>99</v>
      </c>
      <c r="H16" s="16">
        <v>83</v>
      </c>
      <c r="I16" s="176">
        <f t="shared" si="2"/>
        <v>83.838383838383834</v>
      </c>
      <c r="J16" s="159">
        <f t="shared" si="3"/>
        <v>2.095959595959596</v>
      </c>
      <c r="K16" s="159">
        <f t="shared" si="4"/>
        <v>3.7279040404040407</v>
      </c>
      <c r="L16" s="159">
        <f t="shared" si="5"/>
        <v>74.558080808080803</v>
      </c>
    </row>
    <row r="17" spans="1:12" s="17" customFormat="1" ht="24.6" customHeight="1">
      <c r="A17" s="16">
        <v>15</v>
      </c>
      <c r="B17" s="124" t="s">
        <v>162</v>
      </c>
      <c r="C17" s="16">
        <v>71</v>
      </c>
      <c r="D17" s="16">
        <v>55</v>
      </c>
      <c r="E17" s="176">
        <f t="shared" si="0"/>
        <v>77.464788732394368</v>
      </c>
      <c r="F17" s="176">
        <f t="shared" si="1"/>
        <v>1.9366197183098592</v>
      </c>
      <c r="G17" s="16">
        <v>58</v>
      </c>
      <c r="H17" s="16">
        <v>44</v>
      </c>
      <c r="I17" s="176">
        <f t="shared" si="2"/>
        <v>75.862068965517238</v>
      </c>
      <c r="J17" s="159">
        <f t="shared" si="3"/>
        <v>1.896551724137931</v>
      </c>
      <c r="K17" s="159">
        <f t="shared" si="4"/>
        <v>3.8331714424477905</v>
      </c>
      <c r="L17" s="159">
        <f t="shared" si="5"/>
        <v>76.663428848955803</v>
      </c>
    </row>
    <row r="18" spans="1:12" s="17" customFormat="1" ht="24.6" customHeight="1">
      <c r="A18" s="16">
        <v>16</v>
      </c>
      <c r="B18" s="124" t="s">
        <v>163</v>
      </c>
      <c r="C18" s="16">
        <v>137</v>
      </c>
      <c r="D18" s="16">
        <v>66</v>
      </c>
      <c r="E18" s="176">
        <f t="shared" si="0"/>
        <v>48.175182481751825</v>
      </c>
      <c r="F18" s="176">
        <f t="shared" si="1"/>
        <v>1.2043795620437958</v>
      </c>
      <c r="G18" s="16">
        <v>124</v>
      </c>
      <c r="H18" s="16">
        <v>124</v>
      </c>
      <c r="I18" s="176">
        <f t="shared" si="2"/>
        <v>100</v>
      </c>
      <c r="J18" s="159">
        <f t="shared" si="3"/>
        <v>2.5</v>
      </c>
      <c r="K18" s="159">
        <f t="shared" si="4"/>
        <v>3.7043795620437958</v>
      </c>
      <c r="L18" s="159">
        <f t="shared" si="5"/>
        <v>74.087591240875909</v>
      </c>
    </row>
    <row r="19" spans="1:12" s="17" customFormat="1" ht="24.6" customHeight="1">
      <c r="A19" s="16">
        <v>17</v>
      </c>
      <c r="B19" s="124" t="s">
        <v>164</v>
      </c>
      <c r="C19" s="16">
        <v>182</v>
      </c>
      <c r="D19" s="16">
        <v>140</v>
      </c>
      <c r="E19" s="176">
        <f t="shared" si="0"/>
        <v>76.92307692307692</v>
      </c>
      <c r="F19" s="176">
        <f t="shared" si="1"/>
        <v>1.9230769230769231</v>
      </c>
      <c r="G19" s="16">
        <v>103</v>
      </c>
      <c r="H19" s="16">
        <v>96</v>
      </c>
      <c r="I19" s="176">
        <f t="shared" si="2"/>
        <v>93.203883495145632</v>
      </c>
      <c r="J19" s="159">
        <f t="shared" si="3"/>
        <v>2.3300970873786411</v>
      </c>
      <c r="K19" s="159">
        <f t="shared" si="4"/>
        <v>4.253174010455564</v>
      </c>
      <c r="L19" s="159">
        <f t="shared" si="5"/>
        <v>85.063480209111276</v>
      </c>
    </row>
    <row r="20" spans="1:12" s="17" customFormat="1" ht="24.6" customHeight="1">
      <c r="A20" s="16">
        <v>18</v>
      </c>
      <c r="B20" s="124" t="s">
        <v>165</v>
      </c>
      <c r="C20" s="16">
        <v>217</v>
      </c>
      <c r="D20" s="16">
        <v>99</v>
      </c>
      <c r="E20" s="176">
        <f t="shared" si="0"/>
        <v>45.622119815668199</v>
      </c>
      <c r="F20" s="176">
        <f t="shared" si="1"/>
        <v>1.1405529953917051</v>
      </c>
      <c r="G20" s="16">
        <v>170</v>
      </c>
      <c r="H20" s="16">
        <v>155</v>
      </c>
      <c r="I20" s="176">
        <f t="shared" si="2"/>
        <v>91.17647058823529</v>
      </c>
      <c r="J20" s="159">
        <f t="shared" si="3"/>
        <v>2.2794117647058822</v>
      </c>
      <c r="K20" s="159">
        <f t="shared" si="4"/>
        <v>3.4199647600975873</v>
      </c>
      <c r="L20" s="159">
        <f t="shared" si="5"/>
        <v>68.399295201951745</v>
      </c>
    </row>
    <row r="21" spans="1:12" s="17" customFormat="1" ht="24.6" customHeight="1">
      <c r="A21" s="16">
        <v>19</v>
      </c>
      <c r="B21" s="124" t="s">
        <v>166</v>
      </c>
      <c r="C21" s="16">
        <v>315</v>
      </c>
      <c r="D21" s="16">
        <v>250</v>
      </c>
      <c r="E21" s="176">
        <f t="shared" si="0"/>
        <v>79.365079365079367</v>
      </c>
      <c r="F21" s="176">
        <f t="shared" si="1"/>
        <v>1.9841269841269842</v>
      </c>
      <c r="G21" s="16">
        <v>211</v>
      </c>
      <c r="H21" s="16">
        <v>186</v>
      </c>
      <c r="I21" s="176">
        <f t="shared" si="2"/>
        <v>88.151658767772517</v>
      </c>
      <c r="J21" s="159">
        <f t="shared" si="3"/>
        <v>2.203791469194313</v>
      </c>
      <c r="K21" s="159">
        <f t="shared" si="4"/>
        <v>4.1879184533212968</v>
      </c>
      <c r="L21" s="159">
        <f t="shared" si="5"/>
        <v>83.758369066425942</v>
      </c>
    </row>
    <row r="22" spans="1:12" s="17" customFormat="1" ht="24.6" customHeight="1">
      <c r="A22" s="16">
        <v>20</v>
      </c>
      <c r="B22" s="124" t="s">
        <v>167</v>
      </c>
      <c r="C22" s="16">
        <v>93</v>
      </c>
      <c r="D22" s="16">
        <v>76</v>
      </c>
      <c r="E22" s="176">
        <f t="shared" si="0"/>
        <v>81.72043010752688</v>
      </c>
      <c r="F22" s="176">
        <f t="shared" si="1"/>
        <v>2.043010752688172</v>
      </c>
      <c r="G22" s="16">
        <v>75</v>
      </c>
      <c r="H22" s="16">
        <v>52</v>
      </c>
      <c r="I22" s="176">
        <f t="shared" si="2"/>
        <v>69.333333333333329</v>
      </c>
      <c r="J22" s="159">
        <f t="shared" si="3"/>
        <v>1.7333333333333334</v>
      </c>
      <c r="K22" s="159">
        <f t="shared" si="4"/>
        <v>3.7763440860215054</v>
      </c>
      <c r="L22" s="159">
        <f t="shared" si="5"/>
        <v>75.526881720430111</v>
      </c>
    </row>
    <row r="23" spans="1:12" s="17" customFormat="1" ht="24.6" customHeight="1">
      <c r="A23" s="16">
        <v>21</v>
      </c>
      <c r="B23" s="124" t="s">
        <v>168</v>
      </c>
      <c r="C23" s="16">
        <v>315</v>
      </c>
      <c r="D23" s="16">
        <v>255</v>
      </c>
      <c r="E23" s="176">
        <f t="shared" si="0"/>
        <v>80.952380952380949</v>
      </c>
      <c r="F23" s="176">
        <f t="shared" si="1"/>
        <v>2.0238095238095237</v>
      </c>
      <c r="G23" s="16">
        <v>208</v>
      </c>
      <c r="H23" s="16">
        <v>174</v>
      </c>
      <c r="I23" s="176">
        <f t="shared" si="2"/>
        <v>83.65384615384616</v>
      </c>
      <c r="J23" s="159">
        <f t="shared" si="3"/>
        <v>2.0913461538461542</v>
      </c>
      <c r="K23" s="159">
        <f t="shared" si="4"/>
        <v>4.1151556776556779</v>
      </c>
      <c r="L23" s="159">
        <f t="shared" si="5"/>
        <v>82.303113553113548</v>
      </c>
    </row>
    <row r="24" spans="1:12" s="17" customFormat="1" ht="24.6" customHeight="1">
      <c r="A24" s="16">
        <v>22</v>
      </c>
      <c r="B24" s="124" t="s">
        <v>169</v>
      </c>
      <c r="C24" s="16">
        <v>133</v>
      </c>
      <c r="D24" s="16">
        <v>109</v>
      </c>
      <c r="E24" s="176">
        <f t="shared" si="0"/>
        <v>81.954887218045116</v>
      </c>
      <c r="F24" s="176">
        <f t="shared" si="1"/>
        <v>2.0488721804511281</v>
      </c>
      <c r="G24" s="16">
        <v>96</v>
      </c>
      <c r="H24" s="16">
        <v>69</v>
      </c>
      <c r="I24" s="176">
        <f t="shared" si="2"/>
        <v>71.875</v>
      </c>
      <c r="J24" s="159">
        <f t="shared" si="3"/>
        <v>1.796875</v>
      </c>
      <c r="K24" s="159">
        <f t="shared" si="4"/>
        <v>3.8457471804511281</v>
      </c>
      <c r="L24" s="159">
        <f t="shared" si="5"/>
        <v>76.914943609022558</v>
      </c>
    </row>
    <row r="25" spans="1:12" s="17" customFormat="1" ht="24.6" customHeight="1">
      <c r="A25" s="16">
        <v>23</v>
      </c>
      <c r="B25" s="124" t="s">
        <v>170</v>
      </c>
      <c r="C25" s="16">
        <v>459</v>
      </c>
      <c r="D25" s="16">
        <v>203</v>
      </c>
      <c r="E25" s="176">
        <f t="shared" si="0"/>
        <v>44.226579520697165</v>
      </c>
      <c r="F25" s="176">
        <f t="shared" si="1"/>
        <v>1.1056644880174291</v>
      </c>
      <c r="G25" s="16">
        <v>313</v>
      </c>
      <c r="H25" s="16">
        <v>286</v>
      </c>
      <c r="I25" s="176">
        <f t="shared" si="2"/>
        <v>91.373801916932905</v>
      </c>
      <c r="J25" s="159">
        <f t="shared" si="3"/>
        <v>2.2843450479233227</v>
      </c>
      <c r="K25" s="159">
        <f t="shared" si="4"/>
        <v>3.3900095359407518</v>
      </c>
      <c r="L25" s="159">
        <f t="shared" si="5"/>
        <v>67.800190718815031</v>
      </c>
    </row>
    <row r="26" spans="1:12" s="17" customFormat="1" ht="24.6" customHeight="1">
      <c r="A26" s="16">
        <v>24</v>
      </c>
      <c r="B26" s="124" t="s">
        <v>171</v>
      </c>
      <c r="C26" s="16">
        <v>469</v>
      </c>
      <c r="D26" s="16">
        <v>329</v>
      </c>
      <c r="E26" s="176">
        <f t="shared" si="0"/>
        <v>70.149253731343279</v>
      </c>
      <c r="F26" s="176">
        <f t="shared" si="1"/>
        <v>1.7537313432835822</v>
      </c>
      <c r="G26" s="16">
        <v>353</v>
      </c>
      <c r="H26" s="16">
        <v>268</v>
      </c>
      <c r="I26" s="176">
        <f t="shared" si="2"/>
        <v>75.920679886685548</v>
      </c>
      <c r="J26" s="159">
        <f t="shared" si="3"/>
        <v>1.8980169971671388</v>
      </c>
      <c r="K26" s="159">
        <f t="shared" si="4"/>
        <v>3.6517483404507209</v>
      </c>
      <c r="L26" s="159">
        <f t="shared" si="5"/>
        <v>73.034966809014406</v>
      </c>
    </row>
    <row r="27" spans="1:12" s="17" customFormat="1" ht="24.6" customHeight="1">
      <c r="A27" s="16">
        <v>25</v>
      </c>
      <c r="B27" s="124" t="s">
        <v>172</v>
      </c>
      <c r="C27" s="16">
        <v>171</v>
      </c>
      <c r="D27" s="16">
        <v>125</v>
      </c>
      <c r="E27" s="176">
        <f t="shared" si="0"/>
        <v>73.099415204678365</v>
      </c>
      <c r="F27" s="176">
        <f t="shared" si="1"/>
        <v>1.8274853801169593</v>
      </c>
      <c r="G27" s="16">
        <v>129</v>
      </c>
      <c r="H27" s="16">
        <v>127</v>
      </c>
      <c r="I27" s="176">
        <f t="shared" si="2"/>
        <v>98.449612403100772</v>
      </c>
      <c r="J27" s="159">
        <f t="shared" si="3"/>
        <v>2.4612403100775193</v>
      </c>
      <c r="K27" s="159">
        <f t="shared" si="4"/>
        <v>4.2887256901944788</v>
      </c>
      <c r="L27" s="159">
        <f t="shared" si="5"/>
        <v>85.774513803889562</v>
      </c>
    </row>
    <row r="28" spans="1:12" s="17" customFormat="1" ht="24.6" customHeight="1">
      <c r="A28" s="16">
        <v>26</v>
      </c>
      <c r="B28" s="124" t="s">
        <v>173</v>
      </c>
      <c r="C28" s="16">
        <v>75</v>
      </c>
      <c r="D28" s="16">
        <v>64</v>
      </c>
      <c r="E28" s="176">
        <f t="shared" si="0"/>
        <v>85.333333333333329</v>
      </c>
      <c r="F28" s="176">
        <f t="shared" si="1"/>
        <v>2.1333333333333333</v>
      </c>
      <c r="G28" s="16">
        <v>54</v>
      </c>
      <c r="H28" s="16">
        <v>43</v>
      </c>
      <c r="I28" s="176">
        <f t="shared" si="2"/>
        <v>79.629629629629633</v>
      </c>
      <c r="J28" s="159">
        <f t="shared" si="3"/>
        <v>1.9907407407407409</v>
      </c>
      <c r="K28" s="159">
        <f t="shared" si="4"/>
        <v>4.1240740740740742</v>
      </c>
      <c r="L28" s="159">
        <f t="shared" si="5"/>
        <v>82.481481481481481</v>
      </c>
    </row>
    <row r="29" spans="1:12" s="17" customFormat="1" ht="24.6" customHeight="1">
      <c r="A29" s="16">
        <v>27</v>
      </c>
      <c r="B29" s="124" t="s">
        <v>174</v>
      </c>
      <c r="C29" s="16">
        <v>81</v>
      </c>
      <c r="D29" s="16">
        <v>64</v>
      </c>
      <c r="E29" s="176">
        <f t="shared" si="0"/>
        <v>79.012345679012341</v>
      </c>
      <c r="F29" s="176">
        <f t="shared" si="1"/>
        <v>1.9753086419753085</v>
      </c>
      <c r="G29" s="16">
        <v>54</v>
      </c>
      <c r="H29" s="16">
        <v>47</v>
      </c>
      <c r="I29" s="176">
        <f t="shared" si="2"/>
        <v>87.037037037037038</v>
      </c>
      <c r="J29" s="159">
        <f t="shared" si="3"/>
        <v>2.175925925925926</v>
      </c>
      <c r="K29" s="159">
        <f t="shared" si="4"/>
        <v>4.1512345679012341</v>
      </c>
      <c r="L29" s="159">
        <f t="shared" si="5"/>
        <v>83.024691358024683</v>
      </c>
    </row>
    <row r="30" spans="1:12" s="17" customFormat="1" ht="24.6" customHeight="1">
      <c r="A30" s="16">
        <v>28</v>
      </c>
      <c r="B30" s="124" t="s">
        <v>175</v>
      </c>
      <c r="C30" s="16">
        <v>245</v>
      </c>
      <c r="D30" s="16">
        <v>181</v>
      </c>
      <c r="E30" s="176">
        <f t="shared" si="0"/>
        <v>73.877551020408163</v>
      </c>
      <c r="F30" s="176">
        <f t="shared" si="1"/>
        <v>1.8469387755102042</v>
      </c>
      <c r="G30" s="16">
        <v>159</v>
      </c>
      <c r="H30" s="16">
        <v>145</v>
      </c>
      <c r="I30" s="176">
        <f t="shared" si="2"/>
        <v>91.19496855345912</v>
      </c>
      <c r="J30" s="159">
        <f t="shared" si="3"/>
        <v>2.2798742138364783</v>
      </c>
      <c r="K30" s="159">
        <f t="shared" si="4"/>
        <v>4.1268129893466821</v>
      </c>
      <c r="L30" s="159">
        <f t="shared" si="5"/>
        <v>82.536259786933641</v>
      </c>
    </row>
    <row r="31" spans="1:12" s="17" customFormat="1" ht="24.6" customHeight="1">
      <c r="A31" s="16">
        <v>29</v>
      </c>
      <c r="B31" s="124" t="s">
        <v>176</v>
      </c>
      <c r="C31" s="16">
        <v>259</v>
      </c>
      <c r="D31" s="16">
        <v>135</v>
      </c>
      <c r="E31" s="176">
        <f t="shared" si="0"/>
        <v>52.123552123552123</v>
      </c>
      <c r="F31" s="176">
        <f t="shared" si="1"/>
        <v>1.3030888030888033</v>
      </c>
      <c r="G31" s="16">
        <v>187</v>
      </c>
      <c r="H31" s="16">
        <v>158</v>
      </c>
      <c r="I31" s="176">
        <f t="shared" si="2"/>
        <v>84.491978609625662</v>
      </c>
      <c r="J31" s="159">
        <f t="shared" si="3"/>
        <v>2.1122994652406417</v>
      </c>
      <c r="K31" s="159">
        <f t="shared" si="4"/>
        <v>3.415388268329445</v>
      </c>
      <c r="L31" s="159">
        <f t="shared" si="5"/>
        <v>68.307765366588896</v>
      </c>
    </row>
    <row r="32" spans="1:12" s="17" customFormat="1" ht="24.6" customHeight="1">
      <c r="A32" s="16">
        <v>30</v>
      </c>
      <c r="B32" s="124" t="s">
        <v>177</v>
      </c>
      <c r="C32" s="16">
        <v>153</v>
      </c>
      <c r="D32" s="16">
        <v>125</v>
      </c>
      <c r="E32" s="176">
        <f t="shared" si="0"/>
        <v>81.699346405228752</v>
      </c>
      <c r="F32" s="176">
        <f t="shared" si="1"/>
        <v>2.0424836601307188</v>
      </c>
      <c r="G32" s="16">
        <v>126</v>
      </c>
      <c r="H32" s="16">
        <v>93</v>
      </c>
      <c r="I32" s="176">
        <f t="shared" si="2"/>
        <v>73.80952380952381</v>
      </c>
      <c r="J32" s="159">
        <f t="shared" si="3"/>
        <v>1.8452380952380953</v>
      </c>
      <c r="K32" s="159">
        <f t="shared" si="4"/>
        <v>3.8877217553688141</v>
      </c>
      <c r="L32" s="159">
        <f t="shared" si="5"/>
        <v>77.754435107376281</v>
      </c>
    </row>
    <row r="33" spans="1:12" s="17" customFormat="1" ht="24.6" customHeight="1">
      <c r="A33" s="16">
        <v>31</v>
      </c>
      <c r="B33" s="124" t="s">
        <v>178</v>
      </c>
      <c r="C33" s="16">
        <v>193</v>
      </c>
      <c r="D33" s="16">
        <v>151</v>
      </c>
      <c r="E33" s="176">
        <f t="shared" si="0"/>
        <v>78.238341968911911</v>
      </c>
      <c r="F33" s="176">
        <f t="shared" si="1"/>
        <v>1.9559585492227978</v>
      </c>
      <c r="G33" s="16">
        <v>156</v>
      </c>
      <c r="H33" s="16">
        <v>134</v>
      </c>
      <c r="I33" s="176">
        <f t="shared" si="2"/>
        <v>85.897435897435898</v>
      </c>
      <c r="J33" s="159">
        <f t="shared" si="3"/>
        <v>2.1474358974358974</v>
      </c>
      <c r="K33" s="159">
        <f t="shared" si="4"/>
        <v>4.1033944466586956</v>
      </c>
      <c r="L33" s="159">
        <f t="shared" si="5"/>
        <v>82.067888933173904</v>
      </c>
    </row>
    <row r="34" spans="1:12" s="17" customFormat="1" ht="24.6" customHeight="1">
      <c r="A34" s="16">
        <v>32</v>
      </c>
      <c r="B34" s="124" t="s">
        <v>179</v>
      </c>
      <c r="C34" s="16">
        <v>135</v>
      </c>
      <c r="D34" s="16">
        <v>102</v>
      </c>
      <c r="E34" s="176">
        <f t="shared" si="0"/>
        <v>75.555555555555557</v>
      </c>
      <c r="F34" s="176">
        <f t="shared" si="1"/>
        <v>1.8888888888888891</v>
      </c>
      <c r="G34" s="16">
        <v>111</v>
      </c>
      <c r="H34" s="16">
        <v>87</v>
      </c>
      <c r="I34" s="176">
        <f t="shared" si="2"/>
        <v>78.378378378378372</v>
      </c>
      <c r="J34" s="159">
        <f t="shared" si="3"/>
        <v>1.9594594594594594</v>
      </c>
      <c r="K34" s="159">
        <f t="shared" si="4"/>
        <v>3.8483483483483485</v>
      </c>
      <c r="L34" s="159">
        <f t="shared" si="5"/>
        <v>76.966966966966964</v>
      </c>
    </row>
    <row r="35" spans="1:12" s="17" customFormat="1" ht="24.6" customHeight="1">
      <c r="A35" s="16">
        <v>33</v>
      </c>
      <c r="B35" s="124" t="s">
        <v>180</v>
      </c>
      <c r="C35" s="16">
        <v>38</v>
      </c>
      <c r="D35" s="16">
        <v>38</v>
      </c>
      <c r="E35" s="176">
        <f t="shared" si="0"/>
        <v>100</v>
      </c>
      <c r="F35" s="176">
        <f t="shared" si="1"/>
        <v>2.5</v>
      </c>
      <c r="G35" s="16">
        <v>38</v>
      </c>
      <c r="H35" s="16">
        <v>0</v>
      </c>
      <c r="I35" s="176">
        <f t="shared" si="2"/>
        <v>0</v>
      </c>
      <c r="J35" s="159">
        <f t="shared" si="3"/>
        <v>0</v>
      </c>
      <c r="K35" s="159">
        <f t="shared" si="4"/>
        <v>2.5</v>
      </c>
      <c r="L35" s="159">
        <f t="shared" si="5"/>
        <v>50</v>
      </c>
    </row>
    <row r="36" spans="1:12" s="90" customFormat="1" ht="24.6" customHeight="1">
      <c r="A36" s="230" t="s">
        <v>8</v>
      </c>
      <c r="B36" s="230"/>
      <c r="C36" s="141">
        <f>SUM(C3:C35)</f>
        <v>6677</v>
      </c>
      <c r="D36" s="141">
        <f>SUM(D3:D35)</f>
        <v>4554</v>
      </c>
      <c r="E36" s="175">
        <f t="shared" si="0"/>
        <v>68.204283360790768</v>
      </c>
      <c r="F36" s="175">
        <f t="shared" si="0"/>
        <v>1.497678598172832</v>
      </c>
      <c r="G36" s="140">
        <f>SUM(G3:G35)</f>
        <v>4965</v>
      </c>
      <c r="H36" s="140">
        <f>SUM(H3:H35)</f>
        <v>4179</v>
      </c>
      <c r="I36" s="177">
        <f t="shared" si="2"/>
        <v>84.169184290030216</v>
      </c>
      <c r="J36" s="135">
        <f>AVERAGE(J3:J35)</f>
        <v>2.0320465045776119</v>
      </c>
      <c r="K36" s="135">
        <f t="shared" si="4"/>
        <v>3.5297251027504437</v>
      </c>
      <c r="L36" s="135">
        <f>IFERROR((E36+I36)/2,"")</f>
        <v>76.186733825410499</v>
      </c>
    </row>
    <row r="38" spans="1:12" ht="13.65" customHeight="1"/>
  </sheetData>
  <mergeCells count="2">
    <mergeCell ref="A1:L1"/>
    <mergeCell ref="A36:B3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landscape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52E7-CBE3-4D2B-99D3-A5CE2C0B288E}">
  <sheetPr codeName="Sheet38">
    <tabColor rgb="FFC00000"/>
    <pageSetUpPr fitToPage="1"/>
  </sheetPr>
  <dimension ref="A1:L36"/>
  <sheetViews>
    <sheetView zoomScaleNormal="100" workbookViewId="0">
      <pane ySplit="3" topLeftCell="A30" activePane="bottomLeft" state="frozen"/>
      <selection pane="bottomLeft" activeCell="B35" sqref="B35"/>
    </sheetView>
  </sheetViews>
  <sheetFormatPr defaultRowHeight="14.4"/>
  <cols>
    <col min="1" max="1" width="6.109375" customWidth="1"/>
    <col min="2" max="2" width="23.44140625" bestFit="1" customWidth="1"/>
    <col min="3" max="3" width="15.5546875" customWidth="1"/>
    <col min="4" max="4" width="13.5546875" style="12" customWidth="1"/>
    <col min="5" max="5" width="12.109375" customWidth="1"/>
    <col min="6" max="6" width="19.44140625" customWidth="1"/>
    <col min="7" max="7" width="13.5546875" style="12" customWidth="1"/>
    <col min="8" max="8" width="12.44140625" style="17" customWidth="1"/>
    <col min="9" max="9" width="13" customWidth="1"/>
    <col min="10" max="10" width="12.44140625" style="13" customWidth="1"/>
    <col min="11" max="11" width="8.88671875" customWidth="1"/>
    <col min="12" max="12" width="6.88671875" style="12" customWidth="1"/>
    <col min="14" max="14" width="16.44140625" customWidth="1"/>
  </cols>
  <sheetData>
    <row r="1" spans="1:12" ht="31.35" customHeight="1">
      <c r="A1" s="231" t="s">
        <v>95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</row>
    <row r="2" spans="1:12" ht="29.4" customHeight="1">
      <c r="A2" s="232" t="s">
        <v>96</v>
      </c>
      <c r="B2" s="232"/>
      <c r="C2" s="232" t="s">
        <v>84</v>
      </c>
      <c r="D2" s="232"/>
      <c r="E2" s="232"/>
      <c r="F2" s="232"/>
      <c r="G2" s="232"/>
      <c r="H2" s="232"/>
      <c r="I2" s="232"/>
      <c r="J2" s="232"/>
      <c r="K2" s="232"/>
      <c r="L2" s="232"/>
    </row>
    <row r="3" spans="1:12" s="17" customFormat="1" ht="78.599999999999994" customHeight="1">
      <c r="A3" s="92" t="s">
        <v>66</v>
      </c>
      <c r="B3" s="93" t="s">
        <v>1</v>
      </c>
      <c r="C3" s="92" t="s">
        <v>97</v>
      </c>
      <c r="D3" s="180" t="s">
        <v>98</v>
      </c>
      <c r="E3" s="180" t="s">
        <v>99</v>
      </c>
      <c r="F3" s="92" t="s">
        <v>100</v>
      </c>
      <c r="G3" s="180" t="s">
        <v>101</v>
      </c>
      <c r="H3" s="180" t="s">
        <v>102</v>
      </c>
      <c r="I3" s="180" t="s">
        <v>103</v>
      </c>
      <c r="J3" s="181" t="s">
        <v>104</v>
      </c>
      <c r="K3" s="180" t="s">
        <v>105</v>
      </c>
      <c r="L3" s="92" t="s">
        <v>106</v>
      </c>
    </row>
    <row r="4" spans="1:12" s="17" customFormat="1" ht="25.35" customHeight="1">
      <c r="A4" s="94">
        <v>1</v>
      </c>
      <c r="B4" s="124" t="s">
        <v>148</v>
      </c>
      <c r="C4" s="95">
        <v>25</v>
      </c>
      <c r="D4" s="178">
        <f>IF(L4="U",
    IF(C4&gt;=35,100,ROUND(C4/35*100,2)),
    IF(L4="R",
        IF(C4&gt;=21,100,ROUND(C4/21*100,2)),
        ""
    )
)</f>
        <v>100</v>
      </c>
      <c r="E4" s="179">
        <f>D4*2.5%</f>
        <v>2.5</v>
      </c>
      <c r="F4" s="96" t="s">
        <v>251</v>
      </c>
      <c r="G4" s="182" t="str">
        <f>IF(OR(F4="",F4=0,LEFT(F4,1)="-"),0,TEXT((VALUE(LEFT(F4,FIND(" day",F4)-1))+TIMEVALUE(RIGHT(F4,8))),"[h]:mm:ss"))</f>
        <v>0:43:21</v>
      </c>
      <c r="H4" s="183">
        <f>IF(OR(G4="",G4="0",G4=0),0,
IF(VALUE(LEFT(G4,FIND(":",G4)-1))&lt;24,100,
IF(VALUE(LEFT(G4,FIND(":",G4)-1))&lt;48,50,
IF(VALUE(LEFT(G4,FIND(":",G4)-1))&lt;72,25,0))))</f>
        <v>100</v>
      </c>
      <c r="I4" s="184">
        <f>H4*2.5%</f>
        <v>2.5</v>
      </c>
      <c r="J4" s="159">
        <f>(D4+H4)/2</f>
        <v>100</v>
      </c>
      <c r="K4" s="159">
        <f>J4*5%</f>
        <v>5</v>
      </c>
      <c r="L4" s="16" t="s">
        <v>249</v>
      </c>
    </row>
    <row r="5" spans="1:12" s="17" customFormat="1" ht="25.35" customHeight="1">
      <c r="A5" s="94">
        <v>2</v>
      </c>
      <c r="B5" s="124" t="s">
        <v>149</v>
      </c>
      <c r="C5" s="95">
        <v>50</v>
      </c>
      <c r="D5" s="178">
        <f t="shared" ref="D5:D36" si="0">IF(L5="U",
    IF(C5&gt;=35,100,ROUND(C5/35*100,2)),
    IF(L5="R",
        IF(C5&gt;=21,100,ROUND(C5/21*100,2)),
        ""
    )
)</f>
        <v>100</v>
      </c>
      <c r="E5" s="179">
        <f t="shared" ref="E5:E36" si="1">D5*2.5%</f>
        <v>2.5</v>
      </c>
      <c r="F5" s="96" t="s">
        <v>251</v>
      </c>
      <c r="G5" s="182" t="str">
        <f t="shared" ref="G5:G36" si="2">IF(OR(F5="",F5=0,LEFT(F5,1)="-"),0,TEXT((VALUE(LEFT(F5,FIND(" day",F5)-1))+TIMEVALUE(RIGHT(F5,8))),"[h]:mm:ss"))</f>
        <v>0:43:21</v>
      </c>
      <c r="H5" s="183">
        <f t="shared" ref="H5:H36" si="3">IF(OR(G5="",G5="0",G5=0),0,
IF(VALUE(LEFT(G5,FIND(":",G5)-1))&lt;24,100,
IF(VALUE(LEFT(G5,FIND(":",G5)-1))&lt;48,50,
IF(VALUE(LEFT(G5,FIND(":",G5)-1))&lt;72,25,0))))</f>
        <v>100</v>
      </c>
      <c r="I5" s="184">
        <f t="shared" ref="I5:I36" si="4">H5*2.5%</f>
        <v>2.5</v>
      </c>
      <c r="J5" s="159">
        <f t="shared" ref="J5:J36" si="5">(D5+H5)/2</f>
        <v>100</v>
      </c>
      <c r="K5" s="159">
        <f t="shared" ref="K5:K36" si="6">J5*5%</f>
        <v>5</v>
      </c>
      <c r="L5" s="16" t="s">
        <v>250</v>
      </c>
    </row>
    <row r="6" spans="1:12" s="17" customFormat="1" ht="25.35" customHeight="1">
      <c r="A6" s="94">
        <v>3</v>
      </c>
      <c r="B6" s="124" t="s">
        <v>150</v>
      </c>
      <c r="C6" s="95">
        <v>50</v>
      </c>
      <c r="D6" s="178">
        <f t="shared" si="0"/>
        <v>100</v>
      </c>
      <c r="E6" s="179">
        <f t="shared" si="1"/>
        <v>2.5</v>
      </c>
      <c r="F6" s="96" t="s">
        <v>251</v>
      </c>
      <c r="G6" s="182" t="str">
        <f t="shared" si="2"/>
        <v>0:43:21</v>
      </c>
      <c r="H6" s="183">
        <f t="shared" si="3"/>
        <v>100</v>
      </c>
      <c r="I6" s="184">
        <f t="shared" si="4"/>
        <v>2.5</v>
      </c>
      <c r="J6" s="159">
        <f t="shared" si="5"/>
        <v>100</v>
      </c>
      <c r="K6" s="159">
        <f t="shared" si="6"/>
        <v>5</v>
      </c>
      <c r="L6" s="16" t="s">
        <v>250</v>
      </c>
    </row>
    <row r="7" spans="1:12" s="17" customFormat="1" ht="25.35" customHeight="1">
      <c r="A7" s="94">
        <v>4</v>
      </c>
      <c r="B7" s="124" t="s">
        <v>151</v>
      </c>
      <c r="C7" s="95">
        <v>50</v>
      </c>
      <c r="D7" s="178">
        <f t="shared" si="0"/>
        <v>100</v>
      </c>
      <c r="E7" s="179">
        <f t="shared" si="1"/>
        <v>2.5</v>
      </c>
      <c r="F7" s="96" t="s">
        <v>251</v>
      </c>
      <c r="G7" s="182" t="str">
        <f t="shared" si="2"/>
        <v>0:43:21</v>
      </c>
      <c r="H7" s="183">
        <f t="shared" si="3"/>
        <v>100</v>
      </c>
      <c r="I7" s="184">
        <f t="shared" si="4"/>
        <v>2.5</v>
      </c>
      <c r="J7" s="159">
        <f t="shared" si="5"/>
        <v>100</v>
      </c>
      <c r="K7" s="159">
        <f t="shared" si="6"/>
        <v>5</v>
      </c>
      <c r="L7" s="16" t="s">
        <v>250</v>
      </c>
    </row>
    <row r="8" spans="1:12" s="17" customFormat="1" ht="25.35" customHeight="1">
      <c r="A8" s="94">
        <v>5</v>
      </c>
      <c r="B8" s="124" t="s">
        <v>152</v>
      </c>
      <c r="C8" s="95">
        <v>50</v>
      </c>
      <c r="D8" s="178">
        <f t="shared" si="0"/>
        <v>100</v>
      </c>
      <c r="E8" s="179">
        <f t="shared" si="1"/>
        <v>2.5</v>
      </c>
      <c r="F8" s="96" t="s">
        <v>251</v>
      </c>
      <c r="G8" s="182" t="str">
        <f t="shared" si="2"/>
        <v>0:43:21</v>
      </c>
      <c r="H8" s="183">
        <f t="shared" si="3"/>
        <v>100</v>
      </c>
      <c r="I8" s="184">
        <f t="shared" si="4"/>
        <v>2.5</v>
      </c>
      <c r="J8" s="159">
        <f t="shared" si="5"/>
        <v>100</v>
      </c>
      <c r="K8" s="159">
        <f t="shared" si="6"/>
        <v>5</v>
      </c>
      <c r="L8" s="16" t="s">
        <v>250</v>
      </c>
    </row>
    <row r="9" spans="1:12" s="17" customFormat="1" ht="25.35" customHeight="1">
      <c r="A9" s="94">
        <v>6</v>
      </c>
      <c r="B9" s="124" t="s">
        <v>153</v>
      </c>
      <c r="C9" s="95">
        <v>25</v>
      </c>
      <c r="D9" s="178">
        <f t="shared" si="0"/>
        <v>100</v>
      </c>
      <c r="E9" s="179">
        <f t="shared" si="1"/>
        <v>2.5</v>
      </c>
      <c r="F9" s="96" t="s">
        <v>251</v>
      </c>
      <c r="G9" s="182" t="str">
        <f t="shared" si="2"/>
        <v>0:43:21</v>
      </c>
      <c r="H9" s="183">
        <f t="shared" si="3"/>
        <v>100</v>
      </c>
      <c r="I9" s="184">
        <f t="shared" si="4"/>
        <v>2.5</v>
      </c>
      <c r="J9" s="159">
        <f t="shared" si="5"/>
        <v>100</v>
      </c>
      <c r="K9" s="159">
        <f t="shared" si="6"/>
        <v>5</v>
      </c>
      <c r="L9" s="16" t="s">
        <v>249</v>
      </c>
    </row>
    <row r="10" spans="1:12" s="17" customFormat="1" ht="25.35" customHeight="1">
      <c r="A10" s="94">
        <v>7</v>
      </c>
      <c r="B10" s="124" t="s">
        <v>154</v>
      </c>
      <c r="C10" s="95">
        <v>25</v>
      </c>
      <c r="D10" s="178">
        <f t="shared" si="0"/>
        <v>100</v>
      </c>
      <c r="E10" s="179">
        <f t="shared" si="1"/>
        <v>2.5</v>
      </c>
      <c r="F10" s="96" t="s">
        <v>251</v>
      </c>
      <c r="G10" s="182" t="str">
        <f t="shared" si="2"/>
        <v>0:43:21</v>
      </c>
      <c r="H10" s="183">
        <f t="shared" si="3"/>
        <v>100</v>
      </c>
      <c r="I10" s="184">
        <f t="shared" si="4"/>
        <v>2.5</v>
      </c>
      <c r="J10" s="159">
        <f t="shared" si="5"/>
        <v>100</v>
      </c>
      <c r="K10" s="159">
        <f t="shared" si="6"/>
        <v>5</v>
      </c>
      <c r="L10" s="16" t="s">
        <v>249</v>
      </c>
    </row>
    <row r="11" spans="1:12" s="17" customFormat="1" ht="25.35" customHeight="1">
      <c r="A11" s="94">
        <v>8</v>
      </c>
      <c r="B11" s="124" t="s">
        <v>155</v>
      </c>
      <c r="C11" s="95">
        <v>50</v>
      </c>
      <c r="D11" s="178">
        <f t="shared" si="0"/>
        <v>100</v>
      </c>
      <c r="E11" s="179">
        <f t="shared" si="1"/>
        <v>2.5</v>
      </c>
      <c r="F11" s="96" t="s">
        <v>251</v>
      </c>
      <c r="G11" s="182" t="str">
        <f t="shared" si="2"/>
        <v>0:43:21</v>
      </c>
      <c r="H11" s="183">
        <f t="shared" si="3"/>
        <v>100</v>
      </c>
      <c r="I11" s="184">
        <f t="shared" si="4"/>
        <v>2.5</v>
      </c>
      <c r="J11" s="159">
        <f t="shared" si="5"/>
        <v>100</v>
      </c>
      <c r="K11" s="159">
        <f t="shared" si="6"/>
        <v>5</v>
      </c>
      <c r="L11" s="16" t="s">
        <v>250</v>
      </c>
    </row>
    <row r="12" spans="1:12" s="17" customFormat="1" ht="25.35" customHeight="1">
      <c r="A12" s="94">
        <v>9</v>
      </c>
      <c r="B12" s="124" t="s">
        <v>156</v>
      </c>
      <c r="C12" s="95">
        <v>43</v>
      </c>
      <c r="D12" s="178">
        <f t="shared" si="0"/>
        <v>100</v>
      </c>
      <c r="E12" s="179">
        <f t="shared" si="1"/>
        <v>2.5</v>
      </c>
      <c r="F12" s="96" t="s">
        <v>251</v>
      </c>
      <c r="G12" s="182" t="str">
        <f t="shared" si="2"/>
        <v>0:43:21</v>
      </c>
      <c r="H12" s="183">
        <f t="shared" si="3"/>
        <v>100</v>
      </c>
      <c r="I12" s="184">
        <f t="shared" si="4"/>
        <v>2.5</v>
      </c>
      <c r="J12" s="159">
        <f t="shared" si="5"/>
        <v>100</v>
      </c>
      <c r="K12" s="159">
        <f t="shared" si="6"/>
        <v>5</v>
      </c>
      <c r="L12" s="16" t="s">
        <v>249</v>
      </c>
    </row>
    <row r="13" spans="1:12" s="17" customFormat="1" ht="25.35" customHeight="1">
      <c r="A13" s="94">
        <v>10</v>
      </c>
      <c r="B13" s="124" t="s">
        <v>157</v>
      </c>
      <c r="C13" s="95">
        <v>25</v>
      </c>
      <c r="D13" s="178">
        <f t="shared" si="0"/>
        <v>100</v>
      </c>
      <c r="E13" s="179">
        <f t="shared" si="1"/>
        <v>2.5</v>
      </c>
      <c r="F13" s="96" t="s">
        <v>251</v>
      </c>
      <c r="G13" s="182" t="str">
        <f t="shared" si="2"/>
        <v>0:43:21</v>
      </c>
      <c r="H13" s="183">
        <f t="shared" si="3"/>
        <v>100</v>
      </c>
      <c r="I13" s="184">
        <f t="shared" si="4"/>
        <v>2.5</v>
      </c>
      <c r="J13" s="159">
        <f t="shared" si="5"/>
        <v>100</v>
      </c>
      <c r="K13" s="159">
        <f t="shared" si="6"/>
        <v>5</v>
      </c>
      <c r="L13" s="16" t="s">
        <v>249</v>
      </c>
    </row>
    <row r="14" spans="1:12" s="17" customFormat="1" ht="25.35" customHeight="1">
      <c r="A14" s="94">
        <v>11</v>
      </c>
      <c r="B14" s="124" t="s">
        <v>158</v>
      </c>
      <c r="C14" s="95">
        <v>23</v>
      </c>
      <c r="D14" s="178">
        <f t="shared" si="0"/>
        <v>100</v>
      </c>
      <c r="E14" s="179">
        <f t="shared" si="1"/>
        <v>2.5</v>
      </c>
      <c r="F14" s="96" t="s">
        <v>251</v>
      </c>
      <c r="G14" s="182" t="str">
        <f t="shared" si="2"/>
        <v>0:43:21</v>
      </c>
      <c r="H14" s="183">
        <f t="shared" si="3"/>
        <v>100</v>
      </c>
      <c r="I14" s="184">
        <f t="shared" si="4"/>
        <v>2.5</v>
      </c>
      <c r="J14" s="159">
        <f t="shared" si="5"/>
        <v>100</v>
      </c>
      <c r="K14" s="159">
        <f t="shared" si="6"/>
        <v>5</v>
      </c>
      <c r="L14" s="16" t="s">
        <v>249</v>
      </c>
    </row>
    <row r="15" spans="1:12" s="17" customFormat="1" ht="25.35" customHeight="1">
      <c r="A15" s="94">
        <v>12</v>
      </c>
      <c r="B15" s="124" t="s">
        <v>159</v>
      </c>
      <c r="C15" s="95">
        <v>23</v>
      </c>
      <c r="D15" s="178">
        <f t="shared" si="0"/>
        <v>100</v>
      </c>
      <c r="E15" s="179">
        <f t="shared" si="1"/>
        <v>2.5</v>
      </c>
      <c r="F15" s="96" t="s">
        <v>251</v>
      </c>
      <c r="G15" s="182" t="str">
        <f t="shared" si="2"/>
        <v>0:43:21</v>
      </c>
      <c r="H15" s="183">
        <f t="shared" si="3"/>
        <v>100</v>
      </c>
      <c r="I15" s="184">
        <f t="shared" si="4"/>
        <v>2.5</v>
      </c>
      <c r="J15" s="159">
        <f t="shared" si="5"/>
        <v>100</v>
      </c>
      <c r="K15" s="159">
        <f t="shared" si="6"/>
        <v>5</v>
      </c>
      <c r="L15" s="16" t="s">
        <v>249</v>
      </c>
    </row>
    <row r="16" spans="1:12" s="17" customFormat="1" ht="25.35" customHeight="1">
      <c r="A16" s="94">
        <v>13</v>
      </c>
      <c r="B16" s="124" t="s">
        <v>160</v>
      </c>
      <c r="C16" s="95">
        <v>48</v>
      </c>
      <c r="D16" s="178">
        <f t="shared" si="0"/>
        <v>100</v>
      </c>
      <c r="E16" s="179">
        <f t="shared" si="1"/>
        <v>2.5</v>
      </c>
      <c r="F16" s="96" t="s">
        <v>251</v>
      </c>
      <c r="G16" s="182" t="str">
        <f t="shared" si="2"/>
        <v>0:43:21</v>
      </c>
      <c r="H16" s="183">
        <f t="shared" si="3"/>
        <v>100</v>
      </c>
      <c r="I16" s="184">
        <f t="shared" si="4"/>
        <v>2.5</v>
      </c>
      <c r="J16" s="159">
        <f t="shared" si="5"/>
        <v>100</v>
      </c>
      <c r="K16" s="159">
        <f t="shared" si="6"/>
        <v>5</v>
      </c>
      <c r="L16" s="16" t="s">
        <v>250</v>
      </c>
    </row>
    <row r="17" spans="1:12" s="17" customFormat="1" ht="25.35" customHeight="1">
      <c r="A17" s="94">
        <v>14</v>
      </c>
      <c r="B17" s="124" t="s">
        <v>161</v>
      </c>
      <c r="C17" s="95">
        <v>27</v>
      </c>
      <c r="D17" s="178">
        <f t="shared" si="0"/>
        <v>100</v>
      </c>
      <c r="E17" s="179">
        <f t="shared" si="1"/>
        <v>2.5</v>
      </c>
      <c r="F17" s="96" t="s">
        <v>251</v>
      </c>
      <c r="G17" s="182" t="str">
        <f t="shared" si="2"/>
        <v>0:43:21</v>
      </c>
      <c r="H17" s="183">
        <f t="shared" si="3"/>
        <v>100</v>
      </c>
      <c r="I17" s="184">
        <f t="shared" si="4"/>
        <v>2.5</v>
      </c>
      <c r="J17" s="159">
        <f t="shared" si="5"/>
        <v>100</v>
      </c>
      <c r="K17" s="159">
        <f t="shared" si="6"/>
        <v>5</v>
      </c>
      <c r="L17" s="16" t="s">
        <v>249</v>
      </c>
    </row>
    <row r="18" spans="1:12" s="17" customFormat="1" ht="25.35" customHeight="1">
      <c r="A18" s="94">
        <v>15</v>
      </c>
      <c r="B18" s="124" t="s">
        <v>162</v>
      </c>
      <c r="C18" s="95">
        <v>30</v>
      </c>
      <c r="D18" s="178">
        <f t="shared" si="0"/>
        <v>100</v>
      </c>
      <c r="E18" s="179">
        <f t="shared" si="1"/>
        <v>2.5</v>
      </c>
      <c r="F18" s="96" t="s">
        <v>251</v>
      </c>
      <c r="G18" s="182" t="str">
        <f t="shared" si="2"/>
        <v>0:43:21</v>
      </c>
      <c r="H18" s="183">
        <f t="shared" si="3"/>
        <v>100</v>
      </c>
      <c r="I18" s="184">
        <f t="shared" si="4"/>
        <v>2.5</v>
      </c>
      <c r="J18" s="159">
        <f t="shared" si="5"/>
        <v>100</v>
      </c>
      <c r="K18" s="159">
        <f t="shared" si="6"/>
        <v>5</v>
      </c>
      <c r="L18" s="16" t="s">
        <v>249</v>
      </c>
    </row>
    <row r="19" spans="1:12" s="17" customFormat="1" ht="25.35" customHeight="1">
      <c r="A19" s="94">
        <v>16</v>
      </c>
      <c r="B19" s="124" t="s">
        <v>163</v>
      </c>
      <c r="C19" s="95">
        <v>48</v>
      </c>
      <c r="D19" s="178">
        <f t="shared" si="0"/>
        <v>100</v>
      </c>
      <c r="E19" s="179">
        <f t="shared" si="1"/>
        <v>2.5</v>
      </c>
      <c r="F19" s="96" t="s">
        <v>251</v>
      </c>
      <c r="G19" s="182" t="str">
        <f t="shared" si="2"/>
        <v>0:43:21</v>
      </c>
      <c r="H19" s="183">
        <f t="shared" si="3"/>
        <v>100</v>
      </c>
      <c r="I19" s="184">
        <f t="shared" si="4"/>
        <v>2.5</v>
      </c>
      <c r="J19" s="159">
        <f t="shared" si="5"/>
        <v>100</v>
      </c>
      <c r="K19" s="159">
        <f t="shared" si="6"/>
        <v>5</v>
      </c>
      <c r="L19" s="16" t="s">
        <v>250</v>
      </c>
    </row>
    <row r="20" spans="1:12" s="17" customFormat="1" ht="25.35" customHeight="1">
      <c r="A20" s="94">
        <v>17</v>
      </c>
      <c r="B20" s="124" t="s">
        <v>164</v>
      </c>
      <c r="C20" s="95">
        <v>22</v>
      </c>
      <c r="D20" s="178">
        <f t="shared" si="0"/>
        <v>100</v>
      </c>
      <c r="E20" s="179">
        <f t="shared" si="1"/>
        <v>2.5</v>
      </c>
      <c r="F20" s="96" t="s">
        <v>251</v>
      </c>
      <c r="G20" s="182" t="str">
        <f t="shared" si="2"/>
        <v>0:43:21</v>
      </c>
      <c r="H20" s="183">
        <f t="shared" si="3"/>
        <v>100</v>
      </c>
      <c r="I20" s="184">
        <f t="shared" si="4"/>
        <v>2.5</v>
      </c>
      <c r="J20" s="159">
        <f t="shared" si="5"/>
        <v>100</v>
      </c>
      <c r="K20" s="159">
        <f t="shared" si="6"/>
        <v>5</v>
      </c>
      <c r="L20" s="16" t="s">
        <v>249</v>
      </c>
    </row>
    <row r="21" spans="1:12" s="17" customFormat="1" ht="25.35" customHeight="1">
      <c r="A21" s="94">
        <v>18</v>
      </c>
      <c r="B21" s="124" t="s">
        <v>165</v>
      </c>
      <c r="C21" s="95">
        <v>28</v>
      </c>
      <c r="D21" s="178">
        <f t="shared" si="0"/>
        <v>100</v>
      </c>
      <c r="E21" s="179">
        <f t="shared" si="1"/>
        <v>2.5</v>
      </c>
      <c r="F21" s="96" t="s">
        <v>251</v>
      </c>
      <c r="G21" s="182" t="str">
        <f t="shared" si="2"/>
        <v>0:43:21</v>
      </c>
      <c r="H21" s="183">
        <f t="shared" si="3"/>
        <v>100</v>
      </c>
      <c r="I21" s="184">
        <f t="shared" si="4"/>
        <v>2.5</v>
      </c>
      <c r="J21" s="159">
        <f t="shared" si="5"/>
        <v>100</v>
      </c>
      <c r="K21" s="159">
        <f t="shared" si="6"/>
        <v>5</v>
      </c>
      <c r="L21" s="16" t="s">
        <v>249</v>
      </c>
    </row>
    <row r="22" spans="1:12" s="17" customFormat="1" ht="25.35" customHeight="1">
      <c r="A22" s="94">
        <v>19</v>
      </c>
      <c r="B22" s="124" t="s">
        <v>166</v>
      </c>
      <c r="C22" s="95">
        <v>38</v>
      </c>
      <c r="D22" s="178">
        <f t="shared" si="0"/>
        <v>100</v>
      </c>
      <c r="E22" s="179">
        <f t="shared" si="1"/>
        <v>2.5</v>
      </c>
      <c r="F22" s="96" t="s">
        <v>251</v>
      </c>
      <c r="G22" s="182" t="str">
        <f t="shared" si="2"/>
        <v>0:43:21</v>
      </c>
      <c r="H22" s="183">
        <f t="shared" si="3"/>
        <v>100</v>
      </c>
      <c r="I22" s="184">
        <f t="shared" si="4"/>
        <v>2.5</v>
      </c>
      <c r="J22" s="159">
        <f t="shared" si="5"/>
        <v>100</v>
      </c>
      <c r="K22" s="159">
        <f t="shared" si="6"/>
        <v>5</v>
      </c>
      <c r="L22" s="16" t="s">
        <v>250</v>
      </c>
    </row>
    <row r="23" spans="1:12" s="17" customFormat="1" ht="25.35" customHeight="1">
      <c r="A23" s="94">
        <v>20</v>
      </c>
      <c r="B23" s="124" t="s">
        <v>167</v>
      </c>
      <c r="C23" s="95">
        <v>25</v>
      </c>
      <c r="D23" s="178">
        <f t="shared" si="0"/>
        <v>100</v>
      </c>
      <c r="E23" s="179">
        <f t="shared" si="1"/>
        <v>2.5</v>
      </c>
      <c r="F23" s="96" t="s">
        <v>251</v>
      </c>
      <c r="G23" s="182" t="str">
        <f t="shared" si="2"/>
        <v>0:43:21</v>
      </c>
      <c r="H23" s="183">
        <f t="shared" si="3"/>
        <v>100</v>
      </c>
      <c r="I23" s="184">
        <f t="shared" si="4"/>
        <v>2.5</v>
      </c>
      <c r="J23" s="159">
        <f t="shared" si="5"/>
        <v>100</v>
      </c>
      <c r="K23" s="159">
        <f t="shared" si="6"/>
        <v>5</v>
      </c>
      <c r="L23" s="16" t="s">
        <v>249</v>
      </c>
    </row>
    <row r="24" spans="1:12" s="17" customFormat="1" ht="25.35" customHeight="1">
      <c r="A24" s="94">
        <v>21</v>
      </c>
      <c r="B24" s="124" t="s">
        <v>168</v>
      </c>
      <c r="C24" s="95">
        <v>47</v>
      </c>
      <c r="D24" s="178">
        <f t="shared" si="0"/>
        <v>100</v>
      </c>
      <c r="E24" s="179">
        <f t="shared" si="1"/>
        <v>2.5</v>
      </c>
      <c r="F24" s="96" t="s">
        <v>251</v>
      </c>
      <c r="G24" s="182" t="str">
        <f t="shared" si="2"/>
        <v>0:43:21</v>
      </c>
      <c r="H24" s="183">
        <f t="shared" si="3"/>
        <v>100</v>
      </c>
      <c r="I24" s="184">
        <f t="shared" si="4"/>
        <v>2.5</v>
      </c>
      <c r="J24" s="159">
        <f t="shared" si="5"/>
        <v>100</v>
      </c>
      <c r="K24" s="159">
        <f t="shared" si="6"/>
        <v>5</v>
      </c>
      <c r="L24" s="16" t="s">
        <v>250</v>
      </c>
    </row>
    <row r="25" spans="1:12" s="17" customFormat="1" ht="25.35" customHeight="1">
      <c r="A25" s="94">
        <v>22</v>
      </c>
      <c r="B25" s="124" t="s">
        <v>169</v>
      </c>
      <c r="C25" s="95">
        <v>25</v>
      </c>
      <c r="D25" s="178">
        <f t="shared" si="0"/>
        <v>100</v>
      </c>
      <c r="E25" s="179">
        <f t="shared" si="1"/>
        <v>2.5</v>
      </c>
      <c r="F25" s="96" t="s">
        <v>251</v>
      </c>
      <c r="G25" s="182" t="str">
        <f t="shared" si="2"/>
        <v>0:43:21</v>
      </c>
      <c r="H25" s="183">
        <f t="shared" si="3"/>
        <v>100</v>
      </c>
      <c r="I25" s="184">
        <f t="shared" si="4"/>
        <v>2.5</v>
      </c>
      <c r="J25" s="159">
        <f t="shared" si="5"/>
        <v>100</v>
      </c>
      <c r="K25" s="159">
        <f t="shared" si="6"/>
        <v>5</v>
      </c>
      <c r="L25" s="16" t="s">
        <v>249</v>
      </c>
    </row>
    <row r="26" spans="1:12" s="17" customFormat="1" ht="25.35" customHeight="1">
      <c r="A26" s="94">
        <v>23</v>
      </c>
      <c r="B26" s="124" t="s">
        <v>170</v>
      </c>
      <c r="C26" s="95">
        <v>38</v>
      </c>
      <c r="D26" s="178">
        <f t="shared" si="0"/>
        <v>100</v>
      </c>
      <c r="E26" s="179">
        <f t="shared" si="1"/>
        <v>2.5</v>
      </c>
      <c r="F26" s="96" t="s">
        <v>251</v>
      </c>
      <c r="G26" s="182" t="str">
        <f t="shared" si="2"/>
        <v>0:43:21</v>
      </c>
      <c r="H26" s="183">
        <f t="shared" si="3"/>
        <v>100</v>
      </c>
      <c r="I26" s="184">
        <f t="shared" si="4"/>
        <v>2.5</v>
      </c>
      <c r="J26" s="159">
        <f t="shared" si="5"/>
        <v>100</v>
      </c>
      <c r="K26" s="159">
        <f t="shared" si="6"/>
        <v>5</v>
      </c>
      <c r="L26" s="16" t="s">
        <v>250</v>
      </c>
    </row>
    <row r="27" spans="1:12" s="17" customFormat="1" ht="25.35" customHeight="1">
      <c r="A27" s="94">
        <v>24</v>
      </c>
      <c r="B27" s="124" t="s">
        <v>171</v>
      </c>
      <c r="C27" s="95">
        <v>46</v>
      </c>
      <c r="D27" s="178">
        <f t="shared" si="0"/>
        <v>100</v>
      </c>
      <c r="E27" s="179">
        <f t="shared" si="1"/>
        <v>2.5</v>
      </c>
      <c r="F27" s="96" t="s">
        <v>251</v>
      </c>
      <c r="G27" s="182" t="str">
        <f t="shared" si="2"/>
        <v>0:43:21</v>
      </c>
      <c r="H27" s="183">
        <f t="shared" si="3"/>
        <v>100</v>
      </c>
      <c r="I27" s="184">
        <f t="shared" si="4"/>
        <v>2.5</v>
      </c>
      <c r="J27" s="159">
        <f t="shared" si="5"/>
        <v>100</v>
      </c>
      <c r="K27" s="159">
        <f t="shared" si="6"/>
        <v>5</v>
      </c>
      <c r="L27" s="16" t="s">
        <v>250</v>
      </c>
    </row>
    <row r="28" spans="1:12" s="17" customFormat="1" ht="25.35" customHeight="1">
      <c r="A28" s="94">
        <v>25</v>
      </c>
      <c r="B28" s="124" t="s">
        <v>172</v>
      </c>
      <c r="C28" s="95">
        <v>46</v>
      </c>
      <c r="D28" s="178">
        <f t="shared" si="0"/>
        <v>100</v>
      </c>
      <c r="E28" s="179">
        <f t="shared" si="1"/>
        <v>2.5</v>
      </c>
      <c r="F28" s="96" t="s">
        <v>251</v>
      </c>
      <c r="G28" s="182" t="str">
        <f t="shared" si="2"/>
        <v>0:43:21</v>
      </c>
      <c r="H28" s="183">
        <f t="shared" si="3"/>
        <v>100</v>
      </c>
      <c r="I28" s="184">
        <f t="shared" si="4"/>
        <v>2.5</v>
      </c>
      <c r="J28" s="159">
        <f t="shared" si="5"/>
        <v>100</v>
      </c>
      <c r="K28" s="159">
        <f t="shared" si="6"/>
        <v>5</v>
      </c>
      <c r="L28" s="16" t="s">
        <v>250</v>
      </c>
    </row>
    <row r="29" spans="1:12" s="17" customFormat="1" ht="25.35" customHeight="1">
      <c r="A29" s="94">
        <v>26</v>
      </c>
      <c r="B29" s="124" t="s">
        <v>173</v>
      </c>
      <c r="C29" s="95">
        <v>22</v>
      </c>
      <c r="D29" s="178">
        <f t="shared" si="0"/>
        <v>100</v>
      </c>
      <c r="E29" s="179">
        <f t="shared" si="1"/>
        <v>2.5</v>
      </c>
      <c r="F29" s="96" t="s">
        <v>251</v>
      </c>
      <c r="G29" s="182" t="str">
        <f t="shared" si="2"/>
        <v>0:43:21</v>
      </c>
      <c r="H29" s="183">
        <f t="shared" si="3"/>
        <v>100</v>
      </c>
      <c r="I29" s="184">
        <f t="shared" si="4"/>
        <v>2.5</v>
      </c>
      <c r="J29" s="159">
        <f t="shared" si="5"/>
        <v>100</v>
      </c>
      <c r="K29" s="159">
        <f t="shared" si="6"/>
        <v>5</v>
      </c>
      <c r="L29" s="16" t="s">
        <v>249</v>
      </c>
    </row>
    <row r="30" spans="1:12" s="17" customFormat="1" ht="25.35" customHeight="1">
      <c r="A30" s="94">
        <v>27</v>
      </c>
      <c r="B30" s="124" t="s">
        <v>174</v>
      </c>
      <c r="C30" s="95">
        <v>30</v>
      </c>
      <c r="D30" s="178">
        <f t="shared" si="0"/>
        <v>100</v>
      </c>
      <c r="E30" s="179">
        <f t="shared" si="1"/>
        <v>2.5</v>
      </c>
      <c r="F30" s="96" t="s">
        <v>251</v>
      </c>
      <c r="G30" s="182" t="str">
        <f t="shared" si="2"/>
        <v>0:43:21</v>
      </c>
      <c r="H30" s="183">
        <f t="shared" si="3"/>
        <v>100</v>
      </c>
      <c r="I30" s="184">
        <f t="shared" si="4"/>
        <v>2.5</v>
      </c>
      <c r="J30" s="159">
        <f t="shared" si="5"/>
        <v>100</v>
      </c>
      <c r="K30" s="159">
        <f t="shared" si="6"/>
        <v>5</v>
      </c>
      <c r="L30" s="16" t="s">
        <v>249</v>
      </c>
    </row>
    <row r="31" spans="1:12" s="17" customFormat="1" ht="25.35" customHeight="1">
      <c r="A31" s="94">
        <v>28</v>
      </c>
      <c r="B31" s="124" t="s">
        <v>175</v>
      </c>
      <c r="C31" s="95">
        <v>24</v>
      </c>
      <c r="D31" s="178">
        <f t="shared" si="0"/>
        <v>100</v>
      </c>
      <c r="E31" s="179">
        <f t="shared" si="1"/>
        <v>2.5</v>
      </c>
      <c r="F31" s="96" t="s">
        <v>251</v>
      </c>
      <c r="G31" s="182" t="str">
        <f t="shared" si="2"/>
        <v>0:43:21</v>
      </c>
      <c r="H31" s="183">
        <f t="shared" si="3"/>
        <v>100</v>
      </c>
      <c r="I31" s="184">
        <f t="shared" si="4"/>
        <v>2.5</v>
      </c>
      <c r="J31" s="159">
        <f t="shared" si="5"/>
        <v>100</v>
      </c>
      <c r="K31" s="159">
        <f t="shared" si="6"/>
        <v>5</v>
      </c>
      <c r="L31" s="16" t="s">
        <v>249</v>
      </c>
    </row>
    <row r="32" spans="1:12" s="17" customFormat="1" ht="25.35" customHeight="1">
      <c r="A32" s="94">
        <v>29</v>
      </c>
      <c r="B32" s="124" t="s">
        <v>176</v>
      </c>
      <c r="C32" s="95">
        <v>46</v>
      </c>
      <c r="D32" s="178">
        <f t="shared" si="0"/>
        <v>100</v>
      </c>
      <c r="E32" s="179">
        <f t="shared" si="1"/>
        <v>2.5</v>
      </c>
      <c r="F32" s="96" t="s">
        <v>251</v>
      </c>
      <c r="G32" s="182" t="str">
        <f t="shared" si="2"/>
        <v>0:43:21</v>
      </c>
      <c r="H32" s="183">
        <f t="shared" si="3"/>
        <v>100</v>
      </c>
      <c r="I32" s="184">
        <f t="shared" si="4"/>
        <v>2.5</v>
      </c>
      <c r="J32" s="159">
        <f t="shared" si="5"/>
        <v>100</v>
      </c>
      <c r="K32" s="159">
        <f t="shared" si="6"/>
        <v>5</v>
      </c>
      <c r="L32" s="16" t="s">
        <v>250</v>
      </c>
    </row>
    <row r="33" spans="1:12" s="17" customFormat="1" ht="25.35" customHeight="1">
      <c r="A33" s="94">
        <v>30</v>
      </c>
      <c r="B33" s="124" t="s">
        <v>177</v>
      </c>
      <c r="C33" s="95">
        <v>26</v>
      </c>
      <c r="D33" s="178">
        <f t="shared" si="0"/>
        <v>100</v>
      </c>
      <c r="E33" s="179">
        <f t="shared" si="1"/>
        <v>2.5</v>
      </c>
      <c r="F33" s="96" t="s">
        <v>251</v>
      </c>
      <c r="G33" s="182" t="str">
        <f t="shared" si="2"/>
        <v>0:43:21</v>
      </c>
      <c r="H33" s="183">
        <f t="shared" si="3"/>
        <v>100</v>
      </c>
      <c r="I33" s="184">
        <f t="shared" si="4"/>
        <v>2.5</v>
      </c>
      <c r="J33" s="159">
        <f t="shared" si="5"/>
        <v>100</v>
      </c>
      <c r="K33" s="159">
        <f t="shared" si="6"/>
        <v>5</v>
      </c>
      <c r="L33" s="16" t="s">
        <v>249</v>
      </c>
    </row>
    <row r="34" spans="1:12" s="17" customFormat="1" ht="25.35" customHeight="1">
      <c r="A34" s="94">
        <v>31</v>
      </c>
      <c r="B34" s="124" t="s">
        <v>178</v>
      </c>
      <c r="C34" s="95">
        <v>28</v>
      </c>
      <c r="D34" s="178">
        <f t="shared" si="0"/>
        <v>100</v>
      </c>
      <c r="E34" s="179">
        <f t="shared" si="1"/>
        <v>2.5</v>
      </c>
      <c r="F34" s="96" t="s">
        <v>251</v>
      </c>
      <c r="G34" s="182" t="str">
        <f t="shared" si="2"/>
        <v>0:43:21</v>
      </c>
      <c r="H34" s="183">
        <f t="shared" si="3"/>
        <v>100</v>
      </c>
      <c r="I34" s="184">
        <f t="shared" si="4"/>
        <v>2.5</v>
      </c>
      <c r="J34" s="159">
        <f t="shared" si="5"/>
        <v>100</v>
      </c>
      <c r="K34" s="159">
        <f t="shared" si="6"/>
        <v>5</v>
      </c>
      <c r="L34" s="16" t="s">
        <v>249</v>
      </c>
    </row>
    <row r="35" spans="1:12" s="17" customFormat="1" ht="25.35" customHeight="1">
      <c r="A35" s="94">
        <v>32</v>
      </c>
      <c r="B35" s="124" t="s">
        <v>179</v>
      </c>
      <c r="C35" s="95">
        <v>43</v>
      </c>
      <c r="D35" s="178">
        <f t="shared" si="0"/>
        <v>100</v>
      </c>
      <c r="E35" s="179">
        <f t="shared" si="1"/>
        <v>2.5</v>
      </c>
      <c r="F35" s="96" t="s">
        <v>251</v>
      </c>
      <c r="G35" s="182" t="str">
        <f t="shared" si="2"/>
        <v>0:43:21</v>
      </c>
      <c r="H35" s="183">
        <f t="shared" si="3"/>
        <v>100</v>
      </c>
      <c r="I35" s="184">
        <f t="shared" si="4"/>
        <v>2.5</v>
      </c>
      <c r="J35" s="159">
        <f t="shared" si="5"/>
        <v>100</v>
      </c>
      <c r="K35" s="159">
        <f t="shared" si="6"/>
        <v>5</v>
      </c>
      <c r="L35" s="16" t="s">
        <v>250</v>
      </c>
    </row>
    <row r="36" spans="1:12" s="17" customFormat="1" ht="25.35" customHeight="1">
      <c r="A36" s="94">
        <v>33</v>
      </c>
      <c r="B36" s="124" t="s">
        <v>180</v>
      </c>
      <c r="C36" s="95">
        <v>22</v>
      </c>
      <c r="D36" s="178">
        <f t="shared" si="0"/>
        <v>100</v>
      </c>
      <c r="E36" s="179">
        <f t="shared" si="1"/>
        <v>2.5</v>
      </c>
      <c r="F36" s="96" t="s">
        <v>251</v>
      </c>
      <c r="G36" s="182" t="str">
        <f t="shared" si="2"/>
        <v>0:43:21</v>
      </c>
      <c r="H36" s="183">
        <f t="shared" si="3"/>
        <v>100</v>
      </c>
      <c r="I36" s="184">
        <f t="shared" si="4"/>
        <v>2.5</v>
      </c>
      <c r="J36" s="159">
        <f t="shared" si="5"/>
        <v>100</v>
      </c>
      <c r="K36" s="159">
        <f t="shared" si="6"/>
        <v>5</v>
      </c>
      <c r="L36" s="16" t="s">
        <v>249</v>
      </c>
    </row>
  </sheetData>
  <mergeCells count="3">
    <mergeCell ref="A1:L1"/>
    <mergeCell ref="A2:B2"/>
    <mergeCell ref="C2:L2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88" fitToHeight="0" orientation="landscape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D30B-4EBB-413A-A424-702D6F8D3330}">
  <sheetPr codeName="Sheet57">
    <tabColor rgb="FF7030A0"/>
    <pageSetUpPr fitToPage="1"/>
  </sheetPr>
  <dimension ref="A1:N36"/>
  <sheetViews>
    <sheetView zoomScale="115" zoomScaleNormal="115" workbookViewId="0">
      <pane ySplit="2" topLeftCell="A28" activePane="bottomLeft" state="frozen"/>
      <selection pane="bottomLeft" activeCell="C32" sqref="C32"/>
    </sheetView>
  </sheetViews>
  <sheetFormatPr defaultRowHeight="14.4"/>
  <cols>
    <col min="1" max="1" width="8.109375" customWidth="1"/>
    <col min="2" max="2" width="23" customWidth="1"/>
    <col min="3" max="3" width="10.88671875" customWidth="1"/>
    <col min="4" max="4" width="15.5546875" customWidth="1"/>
    <col min="5" max="5" width="13.88671875" style="40" customWidth="1"/>
    <col min="6" max="6" width="11.109375" style="20" customWidth="1"/>
    <col min="7" max="7" width="12.109375" style="20" customWidth="1"/>
    <col min="8" max="9" width="8.88671875" style="40"/>
    <col min="10" max="10" width="8.88671875" style="20"/>
    <col min="11" max="11" width="11.44140625" customWidth="1"/>
  </cols>
  <sheetData>
    <row r="1" spans="1:11" ht="24.6" customHeight="1">
      <c r="A1" s="233" t="s">
        <v>116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</row>
    <row r="2" spans="1:11" ht="65.25" customHeight="1">
      <c r="A2" s="99" t="s">
        <v>12</v>
      </c>
      <c r="B2" s="99" t="s">
        <v>107</v>
      </c>
      <c r="C2" s="100" t="s">
        <v>108</v>
      </c>
      <c r="D2" s="99" t="s">
        <v>109</v>
      </c>
      <c r="E2" s="187" t="s">
        <v>110</v>
      </c>
      <c r="F2" s="188" t="s">
        <v>111</v>
      </c>
      <c r="G2" s="99" t="s">
        <v>112</v>
      </c>
      <c r="H2" s="187" t="s">
        <v>113</v>
      </c>
      <c r="I2" s="187" t="s">
        <v>114</v>
      </c>
      <c r="J2" s="188" t="s">
        <v>115</v>
      </c>
      <c r="K2" s="188" t="s">
        <v>93</v>
      </c>
    </row>
    <row r="3" spans="1:11" ht="23.1" customHeight="1">
      <c r="A3" s="101">
        <v>1</v>
      </c>
      <c r="B3" s="124" t="s">
        <v>148</v>
      </c>
      <c r="C3" s="102">
        <v>11</v>
      </c>
      <c r="D3" s="102">
        <v>11</v>
      </c>
      <c r="E3" s="185">
        <f t="shared" ref="E3:E35" si="0">D3*100/C3</f>
        <v>100</v>
      </c>
      <c r="F3" s="186">
        <f t="shared" ref="F3:F35" si="1">IFERROR(E3*2.5%,"")</f>
        <v>2.5</v>
      </c>
      <c r="G3" s="103">
        <v>3</v>
      </c>
      <c r="H3" s="186">
        <f t="shared" ref="H3:H35" si="2">IFERROR(G3*100/C3,"")</f>
        <v>27.272727272727273</v>
      </c>
      <c r="I3" s="186">
        <f t="shared" ref="I3:I35" si="3">IFERROR(H3*2.5%,"")</f>
        <v>0.68181818181818188</v>
      </c>
      <c r="J3" s="150">
        <f t="shared" ref="J3:J35" si="4">IFERROR(F3+I3,"")</f>
        <v>3.1818181818181817</v>
      </c>
      <c r="K3" s="159">
        <f t="shared" ref="K3:K35" si="5">(E3+H3)/2</f>
        <v>63.63636363636364</v>
      </c>
    </row>
    <row r="4" spans="1:11" ht="23.1" customHeight="1">
      <c r="A4" s="101">
        <v>2</v>
      </c>
      <c r="B4" s="124" t="s">
        <v>149</v>
      </c>
      <c r="C4" s="102">
        <v>17</v>
      </c>
      <c r="D4" s="102">
        <v>17</v>
      </c>
      <c r="E4" s="185">
        <f t="shared" si="0"/>
        <v>100</v>
      </c>
      <c r="F4" s="186">
        <f t="shared" si="1"/>
        <v>2.5</v>
      </c>
      <c r="G4" s="103">
        <v>4</v>
      </c>
      <c r="H4" s="186">
        <f t="shared" si="2"/>
        <v>23.529411764705884</v>
      </c>
      <c r="I4" s="186">
        <f t="shared" si="3"/>
        <v>0.58823529411764708</v>
      </c>
      <c r="J4" s="150">
        <f t="shared" si="4"/>
        <v>3.0882352941176472</v>
      </c>
      <c r="K4" s="159">
        <f t="shared" si="5"/>
        <v>61.764705882352942</v>
      </c>
    </row>
    <row r="5" spans="1:11" ht="23.1" customHeight="1">
      <c r="A5" s="101">
        <v>3</v>
      </c>
      <c r="B5" s="124" t="s">
        <v>150</v>
      </c>
      <c r="C5" s="102">
        <v>60</v>
      </c>
      <c r="D5" s="102">
        <v>59</v>
      </c>
      <c r="E5" s="185">
        <f t="shared" si="0"/>
        <v>98.333333333333329</v>
      </c>
      <c r="F5" s="186">
        <f t="shared" si="1"/>
        <v>2.4583333333333335</v>
      </c>
      <c r="G5" s="103">
        <v>18</v>
      </c>
      <c r="H5" s="186">
        <f t="shared" si="2"/>
        <v>30</v>
      </c>
      <c r="I5" s="186">
        <f t="shared" si="3"/>
        <v>0.75</v>
      </c>
      <c r="J5" s="150">
        <f t="shared" si="4"/>
        <v>3.2083333333333335</v>
      </c>
      <c r="K5" s="159">
        <f t="shared" si="5"/>
        <v>64.166666666666657</v>
      </c>
    </row>
    <row r="6" spans="1:11" ht="23.1" customHeight="1">
      <c r="A6" s="101">
        <v>4</v>
      </c>
      <c r="B6" s="124" t="s">
        <v>151</v>
      </c>
      <c r="C6" s="102">
        <v>12</v>
      </c>
      <c r="D6" s="102">
        <v>12</v>
      </c>
      <c r="E6" s="185">
        <f t="shared" si="0"/>
        <v>100</v>
      </c>
      <c r="F6" s="186">
        <f t="shared" si="1"/>
        <v>2.5</v>
      </c>
      <c r="G6" s="103">
        <v>4</v>
      </c>
      <c r="H6" s="186">
        <f t="shared" si="2"/>
        <v>33.333333333333336</v>
      </c>
      <c r="I6" s="186">
        <f t="shared" si="3"/>
        <v>0.83333333333333348</v>
      </c>
      <c r="J6" s="150">
        <f t="shared" si="4"/>
        <v>3.3333333333333335</v>
      </c>
      <c r="K6" s="159">
        <f t="shared" si="5"/>
        <v>66.666666666666671</v>
      </c>
    </row>
    <row r="7" spans="1:11" ht="23.1" customHeight="1">
      <c r="A7" s="101">
        <v>5</v>
      </c>
      <c r="B7" s="124" t="s">
        <v>152</v>
      </c>
      <c r="C7" s="102">
        <v>17</v>
      </c>
      <c r="D7" s="102">
        <v>17</v>
      </c>
      <c r="E7" s="185">
        <f t="shared" si="0"/>
        <v>100</v>
      </c>
      <c r="F7" s="186">
        <f t="shared" si="1"/>
        <v>2.5</v>
      </c>
      <c r="G7" s="103">
        <v>6</v>
      </c>
      <c r="H7" s="186">
        <f t="shared" si="2"/>
        <v>35.294117647058826</v>
      </c>
      <c r="I7" s="186">
        <f t="shared" si="3"/>
        <v>0.88235294117647067</v>
      </c>
      <c r="J7" s="150">
        <f t="shared" si="4"/>
        <v>3.3823529411764706</v>
      </c>
      <c r="K7" s="159">
        <f t="shared" si="5"/>
        <v>67.64705882352942</v>
      </c>
    </row>
    <row r="8" spans="1:11" ht="23.1" customHeight="1">
      <c r="A8" s="101">
        <v>6</v>
      </c>
      <c r="B8" s="124" t="s">
        <v>153</v>
      </c>
      <c r="C8" s="102">
        <v>10</v>
      </c>
      <c r="D8" s="102">
        <v>10</v>
      </c>
      <c r="E8" s="185">
        <f t="shared" si="0"/>
        <v>100</v>
      </c>
      <c r="F8" s="186">
        <f t="shared" si="1"/>
        <v>2.5</v>
      </c>
      <c r="G8" s="103">
        <v>3</v>
      </c>
      <c r="H8" s="186">
        <f t="shared" si="2"/>
        <v>30</v>
      </c>
      <c r="I8" s="186">
        <f t="shared" si="3"/>
        <v>0.75</v>
      </c>
      <c r="J8" s="150">
        <f t="shared" si="4"/>
        <v>3.25</v>
      </c>
      <c r="K8" s="159">
        <f t="shared" si="5"/>
        <v>65</v>
      </c>
    </row>
    <row r="9" spans="1:11" ht="23.1" customHeight="1">
      <c r="A9" s="101">
        <v>7</v>
      </c>
      <c r="B9" s="124" t="s">
        <v>154</v>
      </c>
      <c r="C9" s="102">
        <v>9</v>
      </c>
      <c r="D9" s="102">
        <v>9</v>
      </c>
      <c r="E9" s="185">
        <f t="shared" si="0"/>
        <v>100</v>
      </c>
      <c r="F9" s="186">
        <f t="shared" si="1"/>
        <v>2.5</v>
      </c>
      <c r="G9" s="103">
        <v>2</v>
      </c>
      <c r="H9" s="186">
        <f t="shared" si="2"/>
        <v>22.222222222222221</v>
      </c>
      <c r="I9" s="186">
        <f t="shared" si="3"/>
        <v>0.55555555555555558</v>
      </c>
      <c r="J9" s="150">
        <f t="shared" si="4"/>
        <v>3.0555555555555554</v>
      </c>
      <c r="K9" s="159">
        <f t="shared" si="5"/>
        <v>61.111111111111114</v>
      </c>
    </row>
    <row r="10" spans="1:11" ht="23.1" customHeight="1">
      <c r="A10" s="101">
        <v>8</v>
      </c>
      <c r="B10" s="124" t="s">
        <v>155</v>
      </c>
      <c r="C10" s="102">
        <v>20</v>
      </c>
      <c r="D10" s="102">
        <v>20</v>
      </c>
      <c r="E10" s="185">
        <f t="shared" si="0"/>
        <v>100</v>
      </c>
      <c r="F10" s="186">
        <f t="shared" si="1"/>
        <v>2.5</v>
      </c>
      <c r="G10" s="103">
        <v>5</v>
      </c>
      <c r="H10" s="186">
        <f t="shared" si="2"/>
        <v>25</v>
      </c>
      <c r="I10" s="186">
        <f t="shared" si="3"/>
        <v>0.625</v>
      </c>
      <c r="J10" s="150">
        <f t="shared" si="4"/>
        <v>3.125</v>
      </c>
      <c r="K10" s="159">
        <f t="shared" si="5"/>
        <v>62.5</v>
      </c>
    </row>
    <row r="11" spans="1:11" ht="23.1" customHeight="1">
      <c r="A11" s="101">
        <v>9</v>
      </c>
      <c r="B11" s="124" t="s">
        <v>156</v>
      </c>
      <c r="C11" s="102">
        <v>10</v>
      </c>
      <c r="D11" s="102">
        <v>10</v>
      </c>
      <c r="E11" s="185">
        <f t="shared" si="0"/>
        <v>100</v>
      </c>
      <c r="F11" s="186">
        <f t="shared" si="1"/>
        <v>2.5</v>
      </c>
      <c r="G11" s="103">
        <v>3</v>
      </c>
      <c r="H11" s="186">
        <f t="shared" si="2"/>
        <v>30</v>
      </c>
      <c r="I11" s="186">
        <f t="shared" si="3"/>
        <v>0.75</v>
      </c>
      <c r="J11" s="150">
        <f t="shared" si="4"/>
        <v>3.25</v>
      </c>
      <c r="K11" s="159">
        <f t="shared" si="5"/>
        <v>65</v>
      </c>
    </row>
    <row r="12" spans="1:11" ht="23.1" customHeight="1">
      <c r="A12" s="101">
        <v>10</v>
      </c>
      <c r="B12" s="124" t="s">
        <v>157</v>
      </c>
      <c r="C12" s="102">
        <v>10</v>
      </c>
      <c r="D12" s="102">
        <v>10</v>
      </c>
      <c r="E12" s="185">
        <f t="shared" si="0"/>
        <v>100</v>
      </c>
      <c r="F12" s="186">
        <f t="shared" si="1"/>
        <v>2.5</v>
      </c>
      <c r="G12" s="103">
        <v>3</v>
      </c>
      <c r="H12" s="186">
        <f t="shared" si="2"/>
        <v>30</v>
      </c>
      <c r="I12" s="186">
        <f t="shared" si="3"/>
        <v>0.75</v>
      </c>
      <c r="J12" s="150">
        <f t="shared" si="4"/>
        <v>3.25</v>
      </c>
      <c r="K12" s="159">
        <f t="shared" si="5"/>
        <v>65</v>
      </c>
    </row>
    <row r="13" spans="1:11" ht="23.1" customHeight="1">
      <c r="A13" s="101">
        <v>11</v>
      </c>
      <c r="B13" s="124" t="s">
        <v>158</v>
      </c>
      <c r="C13" s="102">
        <v>8</v>
      </c>
      <c r="D13" s="102">
        <v>8</v>
      </c>
      <c r="E13" s="185">
        <f t="shared" si="0"/>
        <v>100</v>
      </c>
      <c r="F13" s="186">
        <f t="shared" si="1"/>
        <v>2.5</v>
      </c>
      <c r="G13" s="103">
        <v>2</v>
      </c>
      <c r="H13" s="186">
        <f t="shared" si="2"/>
        <v>25</v>
      </c>
      <c r="I13" s="186">
        <f t="shared" si="3"/>
        <v>0.625</v>
      </c>
      <c r="J13" s="150">
        <f t="shared" si="4"/>
        <v>3.125</v>
      </c>
      <c r="K13" s="159">
        <f t="shared" si="5"/>
        <v>62.5</v>
      </c>
    </row>
    <row r="14" spans="1:11" ht="23.1" customHeight="1">
      <c r="A14" s="101">
        <v>12</v>
      </c>
      <c r="B14" s="124" t="s">
        <v>159</v>
      </c>
      <c r="C14" s="102">
        <v>10</v>
      </c>
      <c r="D14" s="102">
        <v>10</v>
      </c>
      <c r="E14" s="185">
        <f t="shared" si="0"/>
        <v>100</v>
      </c>
      <c r="F14" s="186">
        <f t="shared" si="1"/>
        <v>2.5</v>
      </c>
      <c r="G14" s="103">
        <v>3</v>
      </c>
      <c r="H14" s="186">
        <f t="shared" si="2"/>
        <v>30</v>
      </c>
      <c r="I14" s="186">
        <f t="shared" si="3"/>
        <v>0.75</v>
      </c>
      <c r="J14" s="150">
        <f t="shared" si="4"/>
        <v>3.25</v>
      </c>
      <c r="K14" s="159">
        <f t="shared" si="5"/>
        <v>65</v>
      </c>
    </row>
    <row r="15" spans="1:11" ht="23.1" customHeight="1">
      <c r="A15" s="101">
        <v>13</v>
      </c>
      <c r="B15" s="124" t="s">
        <v>160</v>
      </c>
      <c r="C15" s="102">
        <v>20</v>
      </c>
      <c r="D15" s="102">
        <v>20</v>
      </c>
      <c r="E15" s="185">
        <f t="shared" si="0"/>
        <v>100</v>
      </c>
      <c r="F15" s="186">
        <f t="shared" si="1"/>
        <v>2.5</v>
      </c>
      <c r="G15" s="103">
        <v>4</v>
      </c>
      <c r="H15" s="186">
        <f t="shared" si="2"/>
        <v>20</v>
      </c>
      <c r="I15" s="186">
        <f t="shared" si="3"/>
        <v>0.5</v>
      </c>
      <c r="J15" s="150">
        <f t="shared" si="4"/>
        <v>3</v>
      </c>
      <c r="K15" s="159">
        <f t="shared" si="5"/>
        <v>60</v>
      </c>
    </row>
    <row r="16" spans="1:11" ht="23.1" customHeight="1">
      <c r="A16" s="101">
        <v>14</v>
      </c>
      <c r="B16" s="124" t="s">
        <v>161</v>
      </c>
      <c r="C16" s="102">
        <v>10</v>
      </c>
      <c r="D16" s="102">
        <v>10</v>
      </c>
      <c r="E16" s="185">
        <f t="shared" si="0"/>
        <v>100</v>
      </c>
      <c r="F16" s="186">
        <f t="shared" si="1"/>
        <v>2.5</v>
      </c>
      <c r="G16" s="103">
        <v>3</v>
      </c>
      <c r="H16" s="186">
        <f t="shared" si="2"/>
        <v>30</v>
      </c>
      <c r="I16" s="186">
        <f t="shared" si="3"/>
        <v>0.75</v>
      </c>
      <c r="J16" s="150">
        <f t="shared" si="4"/>
        <v>3.25</v>
      </c>
      <c r="K16" s="159">
        <f t="shared" si="5"/>
        <v>65</v>
      </c>
    </row>
    <row r="17" spans="1:14" ht="23.1" customHeight="1">
      <c r="A17" s="101">
        <v>15</v>
      </c>
      <c r="B17" s="124" t="s">
        <v>162</v>
      </c>
      <c r="C17" s="102">
        <v>8</v>
      </c>
      <c r="D17" s="102">
        <v>8</v>
      </c>
      <c r="E17" s="185">
        <f t="shared" si="0"/>
        <v>100</v>
      </c>
      <c r="F17" s="186">
        <f t="shared" si="1"/>
        <v>2.5</v>
      </c>
      <c r="G17" s="103">
        <v>2</v>
      </c>
      <c r="H17" s="186">
        <f t="shared" si="2"/>
        <v>25</v>
      </c>
      <c r="I17" s="186">
        <f t="shared" si="3"/>
        <v>0.625</v>
      </c>
      <c r="J17" s="150">
        <f t="shared" si="4"/>
        <v>3.125</v>
      </c>
      <c r="K17" s="159">
        <f t="shared" si="5"/>
        <v>62.5</v>
      </c>
    </row>
    <row r="18" spans="1:14" ht="23.1" customHeight="1">
      <c r="A18" s="101">
        <v>16</v>
      </c>
      <c r="B18" s="124" t="s">
        <v>163</v>
      </c>
      <c r="C18" s="102">
        <v>12</v>
      </c>
      <c r="D18" s="102">
        <v>11</v>
      </c>
      <c r="E18" s="185">
        <f t="shared" si="0"/>
        <v>91.666666666666671</v>
      </c>
      <c r="F18" s="186">
        <f t="shared" si="1"/>
        <v>2.291666666666667</v>
      </c>
      <c r="G18" s="103">
        <v>8</v>
      </c>
      <c r="H18" s="186">
        <f t="shared" si="2"/>
        <v>66.666666666666671</v>
      </c>
      <c r="I18" s="186">
        <f t="shared" si="3"/>
        <v>1.666666666666667</v>
      </c>
      <c r="J18" s="150">
        <f t="shared" si="4"/>
        <v>3.9583333333333339</v>
      </c>
      <c r="K18" s="159">
        <f t="shared" si="5"/>
        <v>79.166666666666671</v>
      </c>
    </row>
    <row r="19" spans="1:14" ht="23.1" customHeight="1">
      <c r="A19" s="101">
        <v>17</v>
      </c>
      <c r="B19" s="124" t="s">
        <v>164</v>
      </c>
      <c r="C19" s="102">
        <v>12</v>
      </c>
      <c r="D19" s="102">
        <v>12</v>
      </c>
      <c r="E19" s="185">
        <f t="shared" si="0"/>
        <v>100</v>
      </c>
      <c r="F19" s="186">
        <f t="shared" si="1"/>
        <v>2.5</v>
      </c>
      <c r="G19" s="103">
        <v>3</v>
      </c>
      <c r="H19" s="186">
        <f t="shared" si="2"/>
        <v>25</v>
      </c>
      <c r="I19" s="186">
        <f t="shared" si="3"/>
        <v>0.625</v>
      </c>
      <c r="J19" s="150">
        <f t="shared" si="4"/>
        <v>3.125</v>
      </c>
      <c r="K19" s="159">
        <f t="shared" si="5"/>
        <v>62.5</v>
      </c>
    </row>
    <row r="20" spans="1:14" ht="23.1" customHeight="1">
      <c r="A20" s="101">
        <v>18</v>
      </c>
      <c r="B20" s="124" t="s">
        <v>165</v>
      </c>
      <c r="C20" s="102">
        <v>12</v>
      </c>
      <c r="D20" s="102">
        <v>12</v>
      </c>
      <c r="E20" s="185">
        <f t="shared" si="0"/>
        <v>100</v>
      </c>
      <c r="F20" s="186">
        <f t="shared" si="1"/>
        <v>2.5</v>
      </c>
      <c r="G20" s="103">
        <v>4</v>
      </c>
      <c r="H20" s="186">
        <f t="shared" si="2"/>
        <v>33.333333333333336</v>
      </c>
      <c r="I20" s="186">
        <f t="shared" si="3"/>
        <v>0.83333333333333348</v>
      </c>
      <c r="J20" s="150">
        <f t="shared" si="4"/>
        <v>3.3333333333333335</v>
      </c>
      <c r="K20" s="159">
        <f t="shared" si="5"/>
        <v>66.666666666666671</v>
      </c>
    </row>
    <row r="21" spans="1:14" ht="23.1" customHeight="1">
      <c r="A21" s="101">
        <v>19</v>
      </c>
      <c r="B21" s="124" t="s">
        <v>166</v>
      </c>
      <c r="C21" s="102">
        <v>20</v>
      </c>
      <c r="D21" s="102">
        <v>20</v>
      </c>
      <c r="E21" s="185">
        <f t="shared" si="0"/>
        <v>100</v>
      </c>
      <c r="F21" s="186">
        <f t="shared" si="1"/>
        <v>2.5</v>
      </c>
      <c r="G21" s="103">
        <v>5</v>
      </c>
      <c r="H21" s="186">
        <f t="shared" si="2"/>
        <v>25</v>
      </c>
      <c r="I21" s="186">
        <f t="shared" si="3"/>
        <v>0.625</v>
      </c>
      <c r="J21" s="150">
        <f t="shared" si="4"/>
        <v>3.125</v>
      </c>
      <c r="K21" s="159">
        <f t="shared" si="5"/>
        <v>62.5</v>
      </c>
    </row>
    <row r="22" spans="1:14" ht="23.1" customHeight="1">
      <c r="A22" s="101">
        <v>20</v>
      </c>
      <c r="B22" s="124" t="s">
        <v>167</v>
      </c>
      <c r="C22" s="102">
        <v>12</v>
      </c>
      <c r="D22" s="102">
        <v>12</v>
      </c>
      <c r="E22" s="185">
        <f t="shared" si="0"/>
        <v>100</v>
      </c>
      <c r="F22" s="186">
        <f t="shared" si="1"/>
        <v>2.5</v>
      </c>
      <c r="G22" s="103">
        <v>3</v>
      </c>
      <c r="H22" s="186">
        <f t="shared" si="2"/>
        <v>25</v>
      </c>
      <c r="I22" s="186">
        <f t="shared" si="3"/>
        <v>0.625</v>
      </c>
      <c r="J22" s="150">
        <f t="shared" si="4"/>
        <v>3.125</v>
      </c>
      <c r="K22" s="159">
        <f t="shared" si="5"/>
        <v>62.5</v>
      </c>
    </row>
    <row r="23" spans="1:14" ht="23.1" customHeight="1">
      <c r="A23" s="101">
        <v>21</v>
      </c>
      <c r="B23" s="124" t="s">
        <v>168</v>
      </c>
      <c r="C23" s="102">
        <v>27</v>
      </c>
      <c r="D23" s="102">
        <v>27</v>
      </c>
      <c r="E23" s="185">
        <f t="shared" si="0"/>
        <v>100</v>
      </c>
      <c r="F23" s="186">
        <f t="shared" si="1"/>
        <v>2.5</v>
      </c>
      <c r="G23" s="103">
        <v>7</v>
      </c>
      <c r="H23" s="186">
        <f t="shared" si="2"/>
        <v>25.925925925925927</v>
      </c>
      <c r="I23" s="186">
        <f t="shared" si="3"/>
        <v>0.64814814814814825</v>
      </c>
      <c r="J23" s="150">
        <f t="shared" si="4"/>
        <v>3.1481481481481484</v>
      </c>
      <c r="K23" s="159">
        <f t="shared" si="5"/>
        <v>62.962962962962962</v>
      </c>
    </row>
    <row r="24" spans="1:14" ht="23.1" customHeight="1">
      <c r="A24" s="101">
        <v>22</v>
      </c>
      <c r="B24" s="124" t="s">
        <v>169</v>
      </c>
      <c r="C24" s="102">
        <v>12</v>
      </c>
      <c r="D24" s="102">
        <v>12</v>
      </c>
      <c r="E24" s="185">
        <f t="shared" si="0"/>
        <v>100</v>
      </c>
      <c r="F24" s="186">
        <f t="shared" si="1"/>
        <v>2.5</v>
      </c>
      <c r="G24" s="103">
        <v>3</v>
      </c>
      <c r="H24" s="186">
        <f t="shared" si="2"/>
        <v>25</v>
      </c>
      <c r="I24" s="186">
        <f t="shared" si="3"/>
        <v>0.625</v>
      </c>
      <c r="J24" s="150">
        <f t="shared" si="4"/>
        <v>3.125</v>
      </c>
      <c r="K24" s="159">
        <f t="shared" si="5"/>
        <v>62.5</v>
      </c>
    </row>
    <row r="25" spans="1:14" ht="23.1" customHeight="1">
      <c r="A25" s="101">
        <v>23</v>
      </c>
      <c r="B25" s="124" t="s">
        <v>170</v>
      </c>
      <c r="C25" s="102">
        <v>37</v>
      </c>
      <c r="D25" s="102">
        <v>36</v>
      </c>
      <c r="E25" s="185">
        <f t="shared" si="0"/>
        <v>97.297297297297291</v>
      </c>
      <c r="F25" s="186">
        <f t="shared" si="1"/>
        <v>2.4324324324324325</v>
      </c>
      <c r="G25" s="103">
        <v>9</v>
      </c>
      <c r="H25" s="186">
        <f t="shared" si="2"/>
        <v>24.324324324324323</v>
      </c>
      <c r="I25" s="186">
        <f t="shared" si="3"/>
        <v>0.60810810810810811</v>
      </c>
      <c r="J25" s="150">
        <f t="shared" si="4"/>
        <v>3.0405405405405403</v>
      </c>
      <c r="K25" s="159">
        <f t="shared" si="5"/>
        <v>60.810810810810807</v>
      </c>
    </row>
    <row r="26" spans="1:14" ht="23.1" customHeight="1">
      <c r="A26" s="101">
        <v>24</v>
      </c>
      <c r="B26" s="124" t="s">
        <v>171</v>
      </c>
      <c r="C26" s="102">
        <v>17</v>
      </c>
      <c r="D26" s="102">
        <v>17</v>
      </c>
      <c r="E26" s="185">
        <f t="shared" si="0"/>
        <v>100</v>
      </c>
      <c r="F26" s="186">
        <f t="shared" si="1"/>
        <v>2.5</v>
      </c>
      <c r="G26" s="103">
        <v>6</v>
      </c>
      <c r="H26" s="186">
        <f t="shared" si="2"/>
        <v>35.294117647058826</v>
      </c>
      <c r="I26" s="186">
        <f t="shared" si="3"/>
        <v>0.88235294117647067</v>
      </c>
      <c r="J26" s="150">
        <f t="shared" si="4"/>
        <v>3.3823529411764706</v>
      </c>
      <c r="K26" s="159">
        <f t="shared" si="5"/>
        <v>67.64705882352942</v>
      </c>
    </row>
    <row r="27" spans="1:14" ht="23.1" customHeight="1">
      <c r="A27" s="101">
        <v>25</v>
      </c>
      <c r="B27" s="124" t="s">
        <v>172</v>
      </c>
      <c r="C27" s="102">
        <v>14</v>
      </c>
      <c r="D27" s="102">
        <v>14</v>
      </c>
      <c r="E27" s="185">
        <f t="shared" si="0"/>
        <v>100</v>
      </c>
      <c r="F27" s="186">
        <f t="shared" si="1"/>
        <v>2.5</v>
      </c>
      <c r="G27" s="103">
        <v>5</v>
      </c>
      <c r="H27" s="186">
        <f t="shared" si="2"/>
        <v>35.714285714285715</v>
      </c>
      <c r="I27" s="186">
        <f t="shared" si="3"/>
        <v>0.8928571428571429</v>
      </c>
      <c r="J27" s="150">
        <f t="shared" si="4"/>
        <v>3.3928571428571428</v>
      </c>
      <c r="K27" s="159">
        <f t="shared" si="5"/>
        <v>67.857142857142861</v>
      </c>
    </row>
    <row r="28" spans="1:14" ht="23.1" customHeight="1">
      <c r="A28" s="101">
        <v>26</v>
      </c>
      <c r="B28" s="124" t="s">
        <v>173</v>
      </c>
      <c r="C28" s="102">
        <v>12</v>
      </c>
      <c r="D28" s="102">
        <v>12</v>
      </c>
      <c r="E28" s="185">
        <f t="shared" si="0"/>
        <v>100</v>
      </c>
      <c r="F28" s="186">
        <f t="shared" si="1"/>
        <v>2.5</v>
      </c>
      <c r="G28" s="103">
        <v>3</v>
      </c>
      <c r="H28" s="186">
        <f t="shared" si="2"/>
        <v>25</v>
      </c>
      <c r="I28" s="186">
        <f t="shared" si="3"/>
        <v>0.625</v>
      </c>
      <c r="J28" s="150">
        <f t="shared" si="4"/>
        <v>3.125</v>
      </c>
      <c r="K28" s="159">
        <f t="shared" si="5"/>
        <v>62.5</v>
      </c>
    </row>
    <row r="29" spans="1:14" ht="23.1" customHeight="1">
      <c r="A29" s="101">
        <v>27</v>
      </c>
      <c r="B29" s="124" t="s">
        <v>174</v>
      </c>
      <c r="C29" s="102">
        <v>12</v>
      </c>
      <c r="D29" s="102">
        <v>12</v>
      </c>
      <c r="E29" s="185">
        <f t="shared" si="0"/>
        <v>100</v>
      </c>
      <c r="F29" s="186">
        <f t="shared" si="1"/>
        <v>2.5</v>
      </c>
      <c r="G29" s="103">
        <v>3</v>
      </c>
      <c r="H29" s="186">
        <f t="shared" si="2"/>
        <v>25</v>
      </c>
      <c r="I29" s="186">
        <f t="shared" si="3"/>
        <v>0.625</v>
      </c>
      <c r="J29" s="150">
        <f t="shared" si="4"/>
        <v>3.125</v>
      </c>
      <c r="K29" s="159">
        <f t="shared" si="5"/>
        <v>62.5</v>
      </c>
    </row>
    <row r="30" spans="1:14" ht="23.1" customHeight="1">
      <c r="A30" s="101">
        <v>28</v>
      </c>
      <c r="B30" s="124" t="s">
        <v>175</v>
      </c>
      <c r="C30" s="102">
        <v>12</v>
      </c>
      <c r="D30" s="102">
        <v>12</v>
      </c>
      <c r="E30" s="185">
        <f t="shared" si="0"/>
        <v>100</v>
      </c>
      <c r="F30" s="186">
        <f t="shared" si="1"/>
        <v>2.5</v>
      </c>
      <c r="G30" s="103">
        <v>3</v>
      </c>
      <c r="H30" s="186">
        <f t="shared" si="2"/>
        <v>25</v>
      </c>
      <c r="I30" s="186">
        <f t="shared" si="3"/>
        <v>0.625</v>
      </c>
      <c r="J30" s="150">
        <f t="shared" si="4"/>
        <v>3.125</v>
      </c>
      <c r="K30" s="159">
        <f t="shared" si="5"/>
        <v>62.5</v>
      </c>
    </row>
    <row r="31" spans="1:14" ht="23.1" customHeight="1">
      <c r="A31" s="101">
        <v>29</v>
      </c>
      <c r="B31" s="124" t="s">
        <v>176</v>
      </c>
      <c r="C31" s="102">
        <v>28</v>
      </c>
      <c r="D31" s="102">
        <v>27</v>
      </c>
      <c r="E31" s="185">
        <f t="shared" si="0"/>
        <v>96.428571428571431</v>
      </c>
      <c r="F31" s="186">
        <f t="shared" si="1"/>
        <v>2.410714285714286</v>
      </c>
      <c r="G31" s="103">
        <v>8</v>
      </c>
      <c r="H31" s="186">
        <f t="shared" si="2"/>
        <v>28.571428571428573</v>
      </c>
      <c r="I31" s="186">
        <f t="shared" si="3"/>
        <v>0.71428571428571441</v>
      </c>
      <c r="J31" s="150">
        <f t="shared" si="4"/>
        <v>3.1250000000000004</v>
      </c>
      <c r="K31" s="159">
        <f t="shared" si="5"/>
        <v>62.5</v>
      </c>
    </row>
    <row r="32" spans="1:14" ht="23.1" customHeight="1">
      <c r="A32" s="101">
        <v>30</v>
      </c>
      <c r="B32" s="124" t="s">
        <v>177</v>
      </c>
      <c r="C32" s="102">
        <v>14</v>
      </c>
      <c r="D32" s="102">
        <v>14</v>
      </c>
      <c r="E32" s="185">
        <f t="shared" si="0"/>
        <v>100</v>
      </c>
      <c r="F32" s="186">
        <f t="shared" si="1"/>
        <v>2.5</v>
      </c>
      <c r="G32" s="103">
        <v>5</v>
      </c>
      <c r="H32" s="186">
        <f t="shared" si="2"/>
        <v>35.714285714285715</v>
      </c>
      <c r="I32" s="186">
        <f t="shared" si="3"/>
        <v>0.8928571428571429</v>
      </c>
      <c r="J32" s="150">
        <f t="shared" si="4"/>
        <v>3.3928571428571428</v>
      </c>
      <c r="K32" s="159">
        <f t="shared" si="5"/>
        <v>67.857142857142861</v>
      </c>
      <c r="N32" s="66"/>
    </row>
    <row r="33" spans="1:11" ht="23.1" customHeight="1">
      <c r="A33" s="101">
        <v>31</v>
      </c>
      <c r="B33" s="124" t="s">
        <v>178</v>
      </c>
      <c r="C33" s="102">
        <v>10</v>
      </c>
      <c r="D33" s="102">
        <v>10</v>
      </c>
      <c r="E33" s="185">
        <f t="shared" si="0"/>
        <v>100</v>
      </c>
      <c r="F33" s="186">
        <f t="shared" si="1"/>
        <v>2.5</v>
      </c>
      <c r="G33" s="103">
        <v>3</v>
      </c>
      <c r="H33" s="186">
        <f t="shared" si="2"/>
        <v>30</v>
      </c>
      <c r="I33" s="186">
        <f t="shared" si="3"/>
        <v>0.75</v>
      </c>
      <c r="J33" s="150">
        <f t="shared" si="4"/>
        <v>3.25</v>
      </c>
      <c r="K33" s="159">
        <f t="shared" si="5"/>
        <v>65</v>
      </c>
    </row>
    <row r="34" spans="1:11" ht="23.1" customHeight="1">
      <c r="A34" s="101">
        <v>32</v>
      </c>
      <c r="B34" s="124" t="s">
        <v>179</v>
      </c>
      <c r="C34" s="102">
        <v>10</v>
      </c>
      <c r="D34" s="102">
        <v>10</v>
      </c>
      <c r="E34" s="185">
        <f t="shared" si="0"/>
        <v>100</v>
      </c>
      <c r="F34" s="186">
        <f t="shared" si="1"/>
        <v>2.5</v>
      </c>
      <c r="G34" s="103">
        <v>3</v>
      </c>
      <c r="H34" s="186">
        <f t="shared" si="2"/>
        <v>30</v>
      </c>
      <c r="I34" s="186">
        <f t="shared" si="3"/>
        <v>0.75</v>
      </c>
      <c r="J34" s="150">
        <f t="shared" si="4"/>
        <v>3.25</v>
      </c>
      <c r="K34" s="159">
        <f t="shared" si="5"/>
        <v>65</v>
      </c>
    </row>
    <row r="35" spans="1:11" ht="23.1" customHeight="1">
      <c r="A35" s="101">
        <v>33</v>
      </c>
      <c r="B35" s="124" t="s">
        <v>180</v>
      </c>
      <c r="C35" s="102">
        <v>8</v>
      </c>
      <c r="D35" s="102">
        <v>8</v>
      </c>
      <c r="E35" s="185">
        <f t="shared" si="0"/>
        <v>100</v>
      </c>
      <c r="F35" s="186">
        <f t="shared" si="1"/>
        <v>2.5</v>
      </c>
      <c r="G35" s="103">
        <v>2</v>
      </c>
      <c r="H35" s="186">
        <f t="shared" si="2"/>
        <v>25</v>
      </c>
      <c r="I35" s="186">
        <f t="shared" si="3"/>
        <v>0.625</v>
      </c>
      <c r="J35" s="150">
        <f t="shared" si="4"/>
        <v>3.125</v>
      </c>
      <c r="K35" s="159">
        <f t="shared" si="5"/>
        <v>62.5</v>
      </c>
    </row>
    <row r="36" spans="1:11" ht="23.1" customHeight="1">
      <c r="A36" s="234" t="s">
        <v>18</v>
      </c>
      <c r="B36" s="235"/>
      <c r="C36" s="104">
        <f>SUM(C3:C35)</f>
        <v>513</v>
      </c>
      <c r="D36" s="104">
        <f t="shared" ref="D36:K36" si="6">SUM(D3:D35)</f>
        <v>509</v>
      </c>
      <c r="E36" s="187">
        <f>AVERAGE(E3:E35)</f>
        <v>99.506844506844516</v>
      </c>
      <c r="F36" s="187">
        <f>AVERAGE(F3:F35)</f>
        <v>2.4876711126711131</v>
      </c>
      <c r="G36" s="142">
        <f>SUM(G3:G35)</f>
        <v>148</v>
      </c>
      <c r="H36" s="187">
        <f>AVERAGE(H3:H35)</f>
        <v>29.157460004162317</v>
      </c>
      <c r="I36" s="188">
        <f t="shared" si="6"/>
        <v>24.054904503433921</v>
      </c>
      <c r="J36" s="188">
        <f t="shared" si="6"/>
        <v>106.14805122158063</v>
      </c>
      <c r="K36" s="188">
        <f t="shared" si="6"/>
        <v>2122.9610244316127</v>
      </c>
    </row>
  </sheetData>
  <mergeCells count="2">
    <mergeCell ref="A1:K1"/>
    <mergeCell ref="A36:B3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1A2C-6C14-44F4-9940-247949E3CBBC}">
  <sheetPr codeName="Sheet61">
    <tabColor rgb="FF00B050"/>
  </sheetPr>
  <dimension ref="A1:L35"/>
  <sheetViews>
    <sheetView zoomScaleNormal="100" workbookViewId="0">
      <pane ySplit="2" topLeftCell="A3" activePane="bottomLeft" state="frozen"/>
      <selection pane="bottomLeft" activeCell="F33" sqref="F33"/>
    </sheetView>
  </sheetViews>
  <sheetFormatPr defaultRowHeight="14.4"/>
  <cols>
    <col min="1" max="1" width="7.5546875" customWidth="1"/>
    <col min="2" max="2" width="21.88671875" customWidth="1"/>
    <col min="3" max="3" width="13.33203125" style="12" customWidth="1"/>
    <col min="4" max="4" width="9.88671875" style="12" customWidth="1"/>
    <col min="5" max="5" width="4.5546875" style="12" customWidth="1"/>
    <col min="6" max="6" width="6" style="12" customWidth="1"/>
    <col min="7" max="7" width="8.5546875" style="12" customWidth="1"/>
    <col min="8" max="8" width="10.88671875" style="12" bestFit="1" customWidth="1"/>
    <col min="9" max="9" width="8" style="12" bestFit="1" customWidth="1"/>
    <col min="10" max="10" width="8.5546875" style="12" customWidth="1"/>
    <col min="12" max="12" width="8.88671875" hidden="1" customWidth="1"/>
  </cols>
  <sheetData>
    <row r="1" spans="1:12" ht="25.35" customHeight="1">
      <c r="A1" s="236" t="s">
        <v>132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s="17" customFormat="1" ht="51.6" customHeight="1">
      <c r="A2" s="31" t="s">
        <v>12</v>
      </c>
      <c r="B2" s="37" t="s">
        <v>24</v>
      </c>
      <c r="C2" s="32" t="s">
        <v>117</v>
      </c>
      <c r="D2" s="31" t="s">
        <v>118</v>
      </c>
      <c r="E2" s="31" t="s">
        <v>119</v>
      </c>
      <c r="F2" s="31" t="s">
        <v>120</v>
      </c>
      <c r="G2" s="134" t="s">
        <v>121</v>
      </c>
      <c r="H2" s="134" t="s">
        <v>122</v>
      </c>
      <c r="I2" s="32" t="s">
        <v>123</v>
      </c>
      <c r="J2" s="157" t="s">
        <v>6</v>
      </c>
      <c r="K2" s="169" t="s">
        <v>7</v>
      </c>
      <c r="L2" s="31" t="s">
        <v>124</v>
      </c>
    </row>
    <row r="3" spans="1:12" s="17" customFormat="1" ht="19.350000000000001" customHeight="1">
      <c r="A3" s="106">
        <v>1</v>
      </c>
      <c r="B3" s="143" t="s">
        <v>148</v>
      </c>
      <c r="C3" s="106" t="s">
        <v>255</v>
      </c>
      <c r="D3" s="75">
        <v>6</v>
      </c>
      <c r="E3" s="75"/>
      <c r="F3" s="75"/>
      <c r="G3" s="183">
        <f t="shared" ref="G3:G35" si="0">IF((D3*3600+E3*60+F3)=0,-1,D3*3600+E3*60+F3)</f>
        <v>21600</v>
      </c>
      <c r="H3" s="184">
        <f t="shared" ref="H3:H35" si="1">IF(AND(C3="NO",D3=0),20,IF(G3&gt;=126000,80,IF(G3&gt;0,ROUND(20+(G3/126000)*60,0),20)))</f>
        <v>30</v>
      </c>
      <c r="I3" s="105">
        <v>20</v>
      </c>
      <c r="J3" s="184">
        <f>H3+I3</f>
        <v>50</v>
      </c>
      <c r="K3" s="184">
        <f>J3*5%</f>
        <v>2.5</v>
      </c>
      <c r="L3" s="17" t="s">
        <v>125</v>
      </c>
    </row>
    <row r="4" spans="1:12" s="17" customFormat="1" ht="19.350000000000001" customHeight="1">
      <c r="A4" s="106">
        <v>2</v>
      </c>
      <c r="B4" s="143" t="s">
        <v>149</v>
      </c>
      <c r="C4" s="193" t="s">
        <v>252</v>
      </c>
      <c r="D4" s="75">
        <v>10</v>
      </c>
      <c r="E4" s="75"/>
      <c r="F4" s="75"/>
      <c r="G4" s="183">
        <f t="shared" si="0"/>
        <v>36000</v>
      </c>
      <c r="H4" s="184">
        <f t="shared" si="1"/>
        <v>37</v>
      </c>
      <c r="I4" s="105">
        <v>20</v>
      </c>
      <c r="J4" s="184">
        <f t="shared" ref="J4:J35" si="2">H4+I4</f>
        <v>57</v>
      </c>
      <c r="K4" s="184">
        <f t="shared" ref="K4:K35" si="3">J4*5%</f>
        <v>2.85</v>
      </c>
      <c r="L4" s="17" t="s">
        <v>126</v>
      </c>
    </row>
    <row r="5" spans="1:12" s="17" customFormat="1" ht="19.350000000000001" customHeight="1">
      <c r="A5" s="106">
        <v>3</v>
      </c>
      <c r="B5" s="143" t="s">
        <v>150</v>
      </c>
      <c r="C5" s="106" t="s">
        <v>252</v>
      </c>
      <c r="D5" s="75">
        <v>12</v>
      </c>
      <c r="E5" s="75"/>
      <c r="F5" s="75"/>
      <c r="G5" s="183">
        <f t="shared" si="0"/>
        <v>43200</v>
      </c>
      <c r="H5" s="184">
        <f t="shared" si="1"/>
        <v>41</v>
      </c>
      <c r="I5" s="105">
        <v>20</v>
      </c>
      <c r="J5" s="184">
        <f t="shared" si="2"/>
        <v>61</v>
      </c>
      <c r="K5" s="184">
        <f t="shared" si="3"/>
        <v>3.0500000000000003</v>
      </c>
      <c r="L5" s="17" t="s">
        <v>127</v>
      </c>
    </row>
    <row r="6" spans="1:12" s="17" customFormat="1" ht="19.350000000000001" customHeight="1">
      <c r="A6" s="106">
        <v>4</v>
      </c>
      <c r="B6" s="143" t="s">
        <v>151</v>
      </c>
      <c r="C6" s="106" t="s">
        <v>252</v>
      </c>
      <c r="D6" s="75">
        <v>12</v>
      </c>
      <c r="E6" s="75"/>
      <c r="F6" s="75"/>
      <c r="G6" s="183">
        <f t="shared" si="0"/>
        <v>43200</v>
      </c>
      <c r="H6" s="184">
        <f t="shared" si="1"/>
        <v>41</v>
      </c>
      <c r="I6" s="105">
        <v>20</v>
      </c>
      <c r="J6" s="184">
        <f t="shared" si="2"/>
        <v>61</v>
      </c>
      <c r="K6" s="184">
        <f t="shared" si="3"/>
        <v>3.0500000000000003</v>
      </c>
      <c r="L6" s="17" t="s">
        <v>128</v>
      </c>
    </row>
    <row r="7" spans="1:12" s="17" customFormat="1" ht="19.350000000000001" customHeight="1">
      <c r="A7" s="106">
        <v>5</v>
      </c>
      <c r="B7" s="143" t="s">
        <v>152</v>
      </c>
      <c r="C7" s="106" t="s">
        <v>252</v>
      </c>
      <c r="D7" s="75">
        <v>18</v>
      </c>
      <c r="E7" s="75"/>
      <c r="F7" s="75"/>
      <c r="G7" s="183">
        <f t="shared" si="0"/>
        <v>64800</v>
      </c>
      <c r="H7" s="184">
        <f t="shared" si="1"/>
        <v>51</v>
      </c>
      <c r="I7" s="75"/>
      <c r="J7" s="184">
        <f t="shared" si="2"/>
        <v>51</v>
      </c>
      <c r="K7" s="184">
        <f t="shared" si="3"/>
        <v>2.5500000000000003</v>
      </c>
      <c r="L7" s="17" t="s">
        <v>129</v>
      </c>
    </row>
    <row r="8" spans="1:12" s="17" customFormat="1" ht="19.350000000000001" customHeight="1">
      <c r="A8" s="106">
        <v>6</v>
      </c>
      <c r="B8" s="143" t="s">
        <v>153</v>
      </c>
      <c r="C8" s="106" t="s">
        <v>255</v>
      </c>
      <c r="D8" s="75">
        <v>18</v>
      </c>
      <c r="E8" s="75"/>
      <c r="F8" s="75"/>
      <c r="G8" s="183">
        <f t="shared" si="0"/>
        <v>64800</v>
      </c>
      <c r="H8" s="184">
        <f t="shared" si="1"/>
        <v>51</v>
      </c>
      <c r="I8" s="75"/>
      <c r="J8" s="184">
        <f t="shared" si="2"/>
        <v>51</v>
      </c>
      <c r="K8" s="184">
        <f t="shared" si="3"/>
        <v>2.5500000000000003</v>
      </c>
      <c r="L8" s="17" t="s">
        <v>130</v>
      </c>
    </row>
    <row r="9" spans="1:12" s="17" customFormat="1" ht="19.350000000000001" customHeight="1">
      <c r="A9" s="106">
        <v>7</v>
      </c>
      <c r="B9" s="143" t="s">
        <v>154</v>
      </c>
      <c r="C9" s="106" t="s">
        <v>255</v>
      </c>
      <c r="D9" s="75">
        <v>18</v>
      </c>
      <c r="E9" s="75"/>
      <c r="F9" s="75"/>
      <c r="G9" s="183">
        <f t="shared" si="0"/>
        <v>64800</v>
      </c>
      <c r="H9" s="184">
        <f t="shared" si="1"/>
        <v>51</v>
      </c>
      <c r="I9" s="75"/>
      <c r="J9" s="184">
        <f t="shared" si="2"/>
        <v>51</v>
      </c>
      <c r="K9" s="184">
        <f t="shared" si="3"/>
        <v>2.5500000000000003</v>
      </c>
      <c r="L9" s="17" t="s">
        <v>125</v>
      </c>
    </row>
    <row r="10" spans="1:12" s="17" customFormat="1" ht="19.350000000000001" customHeight="1">
      <c r="A10" s="106">
        <v>8</v>
      </c>
      <c r="B10" s="143" t="s">
        <v>155</v>
      </c>
      <c r="C10" s="106" t="s">
        <v>252</v>
      </c>
      <c r="D10" s="75">
        <v>18</v>
      </c>
      <c r="E10" s="75"/>
      <c r="F10" s="75"/>
      <c r="G10" s="183">
        <f t="shared" si="0"/>
        <v>64800</v>
      </c>
      <c r="H10" s="184">
        <f t="shared" si="1"/>
        <v>51</v>
      </c>
      <c r="I10" s="75"/>
      <c r="J10" s="184">
        <f t="shared" si="2"/>
        <v>51</v>
      </c>
      <c r="K10" s="184">
        <f t="shared" si="3"/>
        <v>2.5500000000000003</v>
      </c>
      <c r="L10" s="17" t="s">
        <v>131</v>
      </c>
    </row>
    <row r="11" spans="1:12" s="17" customFormat="1" ht="19.350000000000001" customHeight="1">
      <c r="A11" s="106">
        <v>9</v>
      </c>
      <c r="B11" s="143" t="s">
        <v>156</v>
      </c>
      <c r="C11" s="106" t="s">
        <v>255</v>
      </c>
      <c r="D11" s="75">
        <v>18</v>
      </c>
      <c r="E11" s="75"/>
      <c r="F11" s="75"/>
      <c r="G11" s="183">
        <f t="shared" si="0"/>
        <v>64800</v>
      </c>
      <c r="H11" s="184">
        <f t="shared" si="1"/>
        <v>51</v>
      </c>
      <c r="I11" s="75"/>
      <c r="J11" s="184">
        <f t="shared" si="2"/>
        <v>51</v>
      </c>
      <c r="K11" s="184">
        <f t="shared" si="3"/>
        <v>2.5500000000000003</v>
      </c>
    </row>
    <row r="12" spans="1:12" s="17" customFormat="1" ht="19.350000000000001" customHeight="1">
      <c r="A12" s="106">
        <v>10</v>
      </c>
      <c r="B12" s="143" t="s">
        <v>157</v>
      </c>
      <c r="C12" s="106" t="s">
        <v>255</v>
      </c>
      <c r="D12" s="75">
        <v>18</v>
      </c>
      <c r="E12" s="75"/>
      <c r="F12" s="75"/>
      <c r="G12" s="183">
        <f t="shared" si="0"/>
        <v>64800</v>
      </c>
      <c r="H12" s="184">
        <f t="shared" si="1"/>
        <v>51</v>
      </c>
      <c r="I12" s="75"/>
      <c r="J12" s="184">
        <f t="shared" si="2"/>
        <v>51</v>
      </c>
      <c r="K12" s="184">
        <f t="shared" si="3"/>
        <v>2.5500000000000003</v>
      </c>
    </row>
    <row r="13" spans="1:12" s="17" customFormat="1" ht="19.350000000000001" customHeight="1">
      <c r="A13" s="106">
        <v>11</v>
      </c>
      <c r="B13" s="143" t="s">
        <v>158</v>
      </c>
      <c r="C13" s="106" t="s">
        <v>252</v>
      </c>
      <c r="D13" s="75">
        <v>18</v>
      </c>
      <c r="E13" s="75"/>
      <c r="F13" s="75"/>
      <c r="G13" s="183">
        <f t="shared" si="0"/>
        <v>64800</v>
      </c>
      <c r="H13" s="184">
        <f t="shared" si="1"/>
        <v>51</v>
      </c>
      <c r="I13" s="75"/>
      <c r="J13" s="184">
        <f t="shared" si="2"/>
        <v>51</v>
      </c>
      <c r="K13" s="184">
        <f t="shared" si="3"/>
        <v>2.5500000000000003</v>
      </c>
    </row>
    <row r="14" spans="1:12" s="17" customFormat="1" ht="19.350000000000001" customHeight="1">
      <c r="A14" s="106">
        <v>12</v>
      </c>
      <c r="B14" s="143" t="s">
        <v>159</v>
      </c>
      <c r="C14" s="193" t="s">
        <v>252</v>
      </c>
      <c r="D14" s="75">
        <v>18</v>
      </c>
      <c r="E14" s="75"/>
      <c r="F14" s="75"/>
      <c r="G14" s="183">
        <f t="shared" si="0"/>
        <v>64800</v>
      </c>
      <c r="H14" s="184">
        <f t="shared" si="1"/>
        <v>51</v>
      </c>
      <c r="I14" s="75"/>
      <c r="J14" s="184">
        <f t="shared" si="2"/>
        <v>51</v>
      </c>
      <c r="K14" s="184">
        <f t="shared" si="3"/>
        <v>2.5500000000000003</v>
      </c>
    </row>
    <row r="15" spans="1:12" s="17" customFormat="1" ht="19.350000000000001" customHeight="1">
      <c r="A15" s="106">
        <v>13</v>
      </c>
      <c r="B15" s="143" t="s">
        <v>160</v>
      </c>
      <c r="C15" s="193" t="s">
        <v>252</v>
      </c>
      <c r="D15" s="75">
        <v>18</v>
      </c>
      <c r="E15" s="75"/>
      <c r="F15" s="75"/>
      <c r="G15" s="183">
        <f t="shared" si="0"/>
        <v>64800</v>
      </c>
      <c r="H15" s="184">
        <f t="shared" si="1"/>
        <v>51</v>
      </c>
      <c r="I15" s="75"/>
      <c r="J15" s="184">
        <f t="shared" si="2"/>
        <v>51</v>
      </c>
      <c r="K15" s="184">
        <f t="shared" si="3"/>
        <v>2.5500000000000003</v>
      </c>
    </row>
    <row r="16" spans="1:12" s="17" customFormat="1" ht="19.350000000000001" customHeight="1">
      <c r="A16" s="106">
        <v>14</v>
      </c>
      <c r="B16" s="143" t="s">
        <v>161</v>
      </c>
      <c r="C16" s="106" t="s">
        <v>255</v>
      </c>
      <c r="D16" s="75">
        <v>20</v>
      </c>
      <c r="E16" s="75"/>
      <c r="F16" s="75"/>
      <c r="G16" s="183">
        <f t="shared" si="0"/>
        <v>72000</v>
      </c>
      <c r="H16" s="184">
        <f t="shared" si="1"/>
        <v>54</v>
      </c>
      <c r="I16" s="75"/>
      <c r="J16" s="184">
        <f t="shared" si="2"/>
        <v>54</v>
      </c>
      <c r="K16" s="184">
        <f t="shared" si="3"/>
        <v>2.7</v>
      </c>
    </row>
    <row r="17" spans="1:11" s="17" customFormat="1" ht="19.350000000000001" customHeight="1">
      <c r="A17" s="106">
        <v>15</v>
      </c>
      <c r="B17" s="143" t="s">
        <v>162</v>
      </c>
      <c r="C17" s="193" t="s">
        <v>252</v>
      </c>
      <c r="D17" s="75">
        <v>18</v>
      </c>
      <c r="E17" s="75"/>
      <c r="F17" s="75"/>
      <c r="G17" s="183">
        <f t="shared" si="0"/>
        <v>64800</v>
      </c>
      <c r="H17" s="184">
        <f t="shared" si="1"/>
        <v>51</v>
      </c>
      <c r="I17" s="75"/>
      <c r="J17" s="184">
        <f t="shared" si="2"/>
        <v>51</v>
      </c>
      <c r="K17" s="184">
        <f t="shared" si="3"/>
        <v>2.5500000000000003</v>
      </c>
    </row>
    <row r="18" spans="1:11" s="17" customFormat="1" ht="19.350000000000001" customHeight="1">
      <c r="A18" s="106">
        <v>16</v>
      </c>
      <c r="B18" s="143" t="s">
        <v>163</v>
      </c>
      <c r="C18" s="106" t="s">
        <v>255</v>
      </c>
      <c r="D18" s="75">
        <v>18</v>
      </c>
      <c r="E18" s="75"/>
      <c r="F18" s="75"/>
      <c r="G18" s="183">
        <f t="shared" si="0"/>
        <v>64800</v>
      </c>
      <c r="H18" s="184">
        <f t="shared" si="1"/>
        <v>51</v>
      </c>
      <c r="I18" s="75"/>
      <c r="J18" s="184">
        <f t="shared" si="2"/>
        <v>51</v>
      </c>
      <c r="K18" s="184">
        <f t="shared" si="3"/>
        <v>2.5500000000000003</v>
      </c>
    </row>
    <row r="19" spans="1:11" s="17" customFormat="1" ht="19.350000000000001" customHeight="1">
      <c r="A19" s="106">
        <v>17</v>
      </c>
      <c r="B19" s="143" t="s">
        <v>164</v>
      </c>
      <c r="C19" s="106" t="s">
        <v>252</v>
      </c>
      <c r="D19" s="75">
        <v>18</v>
      </c>
      <c r="E19" s="75"/>
      <c r="F19" s="75"/>
      <c r="G19" s="183">
        <f t="shared" si="0"/>
        <v>64800</v>
      </c>
      <c r="H19" s="184">
        <f t="shared" si="1"/>
        <v>51</v>
      </c>
      <c r="I19" s="75"/>
      <c r="J19" s="184">
        <f t="shared" si="2"/>
        <v>51</v>
      </c>
      <c r="K19" s="184">
        <f t="shared" si="3"/>
        <v>2.5500000000000003</v>
      </c>
    </row>
    <row r="20" spans="1:11" s="17" customFormat="1" ht="19.350000000000001" customHeight="1">
      <c r="A20" s="106">
        <v>18</v>
      </c>
      <c r="B20" s="143" t="s">
        <v>165</v>
      </c>
      <c r="C20" s="106" t="s">
        <v>255</v>
      </c>
      <c r="D20" s="75">
        <v>18</v>
      </c>
      <c r="E20" s="75"/>
      <c r="F20" s="75"/>
      <c r="G20" s="183">
        <f t="shared" si="0"/>
        <v>64800</v>
      </c>
      <c r="H20" s="184">
        <f t="shared" si="1"/>
        <v>51</v>
      </c>
      <c r="I20" s="75"/>
      <c r="J20" s="184">
        <f t="shared" si="2"/>
        <v>51</v>
      </c>
      <c r="K20" s="184">
        <f t="shared" si="3"/>
        <v>2.5500000000000003</v>
      </c>
    </row>
    <row r="21" spans="1:11" s="17" customFormat="1" ht="19.350000000000001" customHeight="1">
      <c r="A21" s="106">
        <v>19</v>
      </c>
      <c r="B21" s="143" t="s">
        <v>166</v>
      </c>
      <c r="C21" s="106" t="s">
        <v>252</v>
      </c>
      <c r="D21" s="75">
        <v>18</v>
      </c>
      <c r="E21" s="75"/>
      <c r="F21" s="75"/>
      <c r="G21" s="183">
        <f t="shared" si="0"/>
        <v>64800</v>
      </c>
      <c r="H21" s="184">
        <f t="shared" si="1"/>
        <v>51</v>
      </c>
      <c r="I21" s="75"/>
      <c r="J21" s="184">
        <f t="shared" si="2"/>
        <v>51</v>
      </c>
      <c r="K21" s="184">
        <f t="shared" si="3"/>
        <v>2.5500000000000003</v>
      </c>
    </row>
    <row r="22" spans="1:11" s="17" customFormat="1" ht="19.350000000000001" customHeight="1">
      <c r="A22" s="106">
        <v>20</v>
      </c>
      <c r="B22" s="143" t="s">
        <v>167</v>
      </c>
      <c r="C22" s="193" t="s">
        <v>252</v>
      </c>
      <c r="D22" s="75">
        <v>20</v>
      </c>
      <c r="E22" s="75"/>
      <c r="F22" s="75"/>
      <c r="G22" s="183">
        <f t="shared" si="0"/>
        <v>72000</v>
      </c>
      <c r="H22" s="184">
        <f t="shared" si="1"/>
        <v>54</v>
      </c>
      <c r="I22" s="75"/>
      <c r="J22" s="184">
        <f t="shared" si="2"/>
        <v>54</v>
      </c>
      <c r="K22" s="184">
        <f t="shared" si="3"/>
        <v>2.7</v>
      </c>
    </row>
    <row r="23" spans="1:11" s="17" customFormat="1" ht="19.350000000000001" customHeight="1">
      <c r="A23" s="106">
        <v>21</v>
      </c>
      <c r="B23" s="143" t="s">
        <v>168</v>
      </c>
      <c r="C23" s="106" t="s">
        <v>252</v>
      </c>
      <c r="D23" s="75">
        <v>22</v>
      </c>
      <c r="E23" s="75"/>
      <c r="F23" s="75"/>
      <c r="G23" s="183">
        <f t="shared" si="0"/>
        <v>79200</v>
      </c>
      <c r="H23" s="184">
        <f t="shared" si="1"/>
        <v>58</v>
      </c>
      <c r="I23" s="97"/>
      <c r="J23" s="184">
        <f t="shared" si="2"/>
        <v>58</v>
      </c>
      <c r="K23" s="184">
        <f t="shared" si="3"/>
        <v>2.9000000000000004</v>
      </c>
    </row>
    <row r="24" spans="1:11" s="17" customFormat="1" ht="19.350000000000001" customHeight="1">
      <c r="A24" s="106">
        <v>22</v>
      </c>
      <c r="B24" s="143" t="s">
        <v>169</v>
      </c>
      <c r="C24" s="106" t="s">
        <v>255</v>
      </c>
      <c r="D24" s="75">
        <v>18</v>
      </c>
      <c r="E24" s="75"/>
      <c r="F24" s="75"/>
      <c r="G24" s="183">
        <f t="shared" si="0"/>
        <v>64800</v>
      </c>
      <c r="H24" s="184">
        <f t="shared" si="1"/>
        <v>51</v>
      </c>
      <c r="I24" s="97"/>
      <c r="J24" s="184">
        <f t="shared" si="2"/>
        <v>51</v>
      </c>
      <c r="K24" s="184">
        <f t="shared" si="3"/>
        <v>2.5500000000000003</v>
      </c>
    </row>
    <row r="25" spans="1:11" s="17" customFormat="1" ht="19.350000000000001" customHeight="1">
      <c r="A25" s="106">
        <v>23</v>
      </c>
      <c r="B25" s="143" t="s">
        <v>170</v>
      </c>
      <c r="C25" s="106" t="s">
        <v>252</v>
      </c>
      <c r="D25" s="75">
        <v>24</v>
      </c>
      <c r="E25" s="75"/>
      <c r="F25" s="75"/>
      <c r="G25" s="183">
        <f t="shared" si="0"/>
        <v>86400</v>
      </c>
      <c r="H25" s="184">
        <f t="shared" si="1"/>
        <v>61</v>
      </c>
      <c r="I25" s="75"/>
      <c r="J25" s="184">
        <f t="shared" si="2"/>
        <v>61</v>
      </c>
      <c r="K25" s="184">
        <f t="shared" si="3"/>
        <v>3.0500000000000003</v>
      </c>
    </row>
    <row r="26" spans="1:11" s="17" customFormat="1" ht="19.350000000000001" customHeight="1">
      <c r="A26" s="106">
        <v>24</v>
      </c>
      <c r="B26" s="143" t="s">
        <v>171</v>
      </c>
      <c r="C26" s="106" t="s">
        <v>252</v>
      </c>
      <c r="D26" s="75">
        <v>22</v>
      </c>
      <c r="E26" s="75"/>
      <c r="F26" s="75"/>
      <c r="G26" s="183">
        <f t="shared" si="0"/>
        <v>79200</v>
      </c>
      <c r="H26" s="184">
        <f t="shared" si="1"/>
        <v>58</v>
      </c>
      <c r="I26" s="97"/>
      <c r="J26" s="184">
        <f t="shared" si="2"/>
        <v>58</v>
      </c>
      <c r="K26" s="184">
        <f t="shared" si="3"/>
        <v>2.9000000000000004</v>
      </c>
    </row>
    <row r="27" spans="1:11" s="17" customFormat="1" ht="19.350000000000001" customHeight="1">
      <c r="A27" s="106">
        <v>25</v>
      </c>
      <c r="B27" s="143" t="s">
        <v>172</v>
      </c>
      <c r="C27" s="193" t="s">
        <v>252</v>
      </c>
      <c r="D27" s="75">
        <v>18</v>
      </c>
      <c r="E27" s="75"/>
      <c r="F27" s="75"/>
      <c r="G27" s="183">
        <f t="shared" si="0"/>
        <v>64800</v>
      </c>
      <c r="H27" s="184">
        <f t="shared" si="1"/>
        <v>51</v>
      </c>
      <c r="I27" s="75"/>
      <c r="J27" s="184">
        <f t="shared" si="2"/>
        <v>51</v>
      </c>
      <c r="K27" s="184">
        <f t="shared" si="3"/>
        <v>2.5500000000000003</v>
      </c>
    </row>
    <row r="28" spans="1:11" s="17" customFormat="1" ht="19.350000000000001" customHeight="1">
      <c r="A28" s="106">
        <v>26</v>
      </c>
      <c r="B28" s="143" t="s">
        <v>173</v>
      </c>
      <c r="C28" s="106" t="s">
        <v>255</v>
      </c>
      <c r="D28" s="75">
        <v>18</v>
      </c>
      <c r="E28" s="75"/>
      <c r="F28" s="75"/>
      <c r="G28" s="183">
        <f t="shared" si="0"/>
        <v>64800</v>
      </c>
      <c r="H28" s="184">
        <f t="shared" si="1"/>
        <v>51</v>
      </c>
      <c r="I28" s="75"/>
      <c r="J28" s="184">
        <f t="shared" si="2"/>
        <v>51</v>
      </c>
      <c r="K28" s="184">
        <f t="shared" si="3"/>
        <v>2.5500000000000003</v>
      </c>
    </row>
    <row r="29" spans="1:11" s="17" customFormat="1" ht="19.350000000000001" customHeight="1">
      <c r="A29" s="106">
        <v>27</v>
      </c>
      <c r="B29" s="143" t="s">
        <v>174</v>
      </c>
      <c r="C29" s="106" t="s">
        <v>255</v>
      </c>
      <c r="D29" s="75">
        <v>18</v>
      </c>
      <c r="E29" s="75"/>
      <c r="F29" s="75"/>
      <c r="G29" s="183">
        <f t="shared" si="0"/>
        <v>64800</v>
      </c>
      <c r="H29" s="184">
        <f t="shared" si="1"/>
        <v>51</v>
      </c>
      <c r="I29" s="75"/>
      <c r="J29" s="184">
        <f t="shared" si="2"/>
        <v>51</v>
      </c>
      <c r="K29" s="184">
        <f t="shared" si="3"/>
        <v>2.5500000000000003</v>
      </c>
    </row>
    <row r="30" spans="1:11" s="17" customFormat="1" ht="19.350000000000001" customHeight="1">
      <c r="A30" s="106">
        <v>28</v>
      </c>
      <c r="B30" s="143" t="s">
        <v>175</v>
      </c>
      <c r="C30" s="106" t="s">
        <v>252</v>
      </c>
      <c r="D30" s="75">
        <v>20</v>
      </c>
      <c r="E30" s="75"/>
      <c r="F30" s="75"/>
      <c r="G30" s="183">
        <f t="shared" si="0"/>
        <v>72000</v>
      </c>
      <c r="H30" s="184">
        <f t="shared" si="1"/>
        <v>54</v>
      </c>
      <c r="I30" s="75"/>
      <c r="J30" s="184">
        <f t="shared" si="2"/>
        <v>54</v>
      </c>
      <c r="K30" s="184">
        <f t="shared" si="3"/>
        <v>2.7</v>
      </c>
    </row>
    <row r="31" spans="1:11" s="17" customFormat="1" ht="19.350000000000001" customHeight="1">
      <c r="A31" s="106">
        <v>29</v>
      </c>
      <c r="B31" s="143" t="s">
        <v>176</v>
      </c>
      <c r="C31" s="106" t="s">
        <v>255</v>
      </c>
      <c r="D31" s="75">
        <v>18</v>
      </c>
      <c r="E31" s="75"/>
      <c r="F31" s="75"/>
      <c r="G31" s="183">
        <f t="shared" si="0"/>
        <v>64800</v>
      </c>
      <c r="H31" s="184">
        <f t="shared" si="1"/>
        <v>51</v>
      </c>
      <c r="I31" s="75"/>
      <c r="J31" s="184">
        <f t="shared" si="2"/>
        <v>51</v>
      </c>
      <c r="K31" s="184">
        <f t="shared" si="3"/>
        <v>2.5500000000000003</v>
      </c>
    </row>
    <row r="32" spans="1:11" s="17" customFormat="1" ht="19.350000000000001" customHeight="1">
      <c r="A32" s="106">
        <v>30</v>
      </c>
      <c r="B32" s="143" t="s">
        <v>177</v>
      </c>
      <c r="C32" s="106" t="s">
        <v>255</v>
      </c>
      <c r="D32" s="75">
        <v>18</v>
      </c>
      <c r="E32" s="75"/>
      <c r="F32" s="75"/>
      <c r="G32" s="183">
        <f t="shared" si="0"/>
        <v>64800</v>
      </c>
      <c r="H32" s="184">
        <f t="shared" si="1"/>
        <v>51</v>
      </c>
      <c r="I32" s="75"/>
      <c r="J32" s="184">
        <f t="shared" si="2"/>
        <v>51</v>
      </c>
      <c r="K32" s="184">
        <f t="shared" si="3"/>
        <v>2.5500000000000003</v>
      </c>
    </row>
    <row r="33" spans="1:11" s="17" customFormat="1" ht="19.350000000000001" customHeight="1">
      <c r="A33" s="106">
        <v>31</v>
      </c>
      <c r="B33" s="143" t="s">
        <v>178</v>
      </c>
      <c r="C33" s="106" t="s">
        <v>255</v>
      </c>
      <c r="D33" s="75">
        <v>20</v>
      </c>
      <c r="E33" s="75"/>
      <c r="F33" s="75"/>
      <c r="G33" s="183">
        <f t="shared" si="0"/>
        <v>72000</v>
      </c>
      <c r="H33" s="184">
        <f t="shared" si="1"/>
        <v>54</v>
      </c>
      <c r="I33" s="75"/>
      <c r="J33" s="184">
        <f t="shared" si="2"/>
        <v>54</v>
      </c>
      <c r="K33" s="184">
        <f t="shared" si="3"/>
        <v>2.7</v>
      </c>
    </row>
    <row r="34" spans="1:11" s="17" customFormat="1" ht="19.350000000000001" customHeight="1">
      <c r="A34" s="106">
        <v>32</v>
      </c>
      <c r="B34" s="143" t="s">
        <v>179</v>
      </c>
      <c r="C34" s="106" t="s">
        <v>252</v>
      </c>
      <c r="D34" s="75">
        <v>20</v>
      </c>
      <c r="E34" s="75"/>
      <c r="F34" s="75"/>
      <c r="G34" s="183">
        <f t="shared" si="0"/>
        <v>72000</v>
      </c>
      <c r="H34" s="184">
        <f t="shared" si="1"/>
        <v>54</v>
      </c>
      <c r="I34" s="75"/>
      <c r="J34" s="184">
        <f t="shared" si="2"/>
        <v>54</v>
      </c>
      <c r="K34" s="184">
        <f t="shared" si="3"/>
        <v>2.7</v>
      </c>
    </row>
    <row r="35" spans="1:11" s="17" customFormat="1" ht="19.350000000000001" customHeight="1">
      <c r="A35" s="106">
        <v>33</v>
      </c>
      <c r="B35" s="143" t="s">
        <v>180</v>
      </c>
      <c r="C35" s="106" t="s">
        <v>252</v>
      </c>
      <c r="D35" s="75">
        <v>20</v>
      </c>
      <c r="E35" s="75"/>
      <c r="F35" s="75"/>
      <c r="G35" s="183">
        <f t="shared" si="0"/>
        <v>72000</v>
      </c>
      <c r="H35" s="184">
        <f t="shared" si="1"/>
        <v>54</v>
      </c>
      <c r="I35" s="75"/>
      <c r="J35" s="184">
        <f t="shared" si="2"/>
        <v>54</v>
      </c>
      <c r="K35" s="184">
        <f t="shared" si="3"/>
        <v>2.7</v>
      </c>
    </row>
  </sheetData>
  <mergeCells count="1">
    <mergeCell ref="A1:L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1EE7-A8FC-4F7D-8774-7F91308F87E5}">
  <sheetPr codeName="Sheet6">
    <tabColor theme="8" tint="-0.249977111117893"/>
    <pageSetUpPr fitToPage="1"/>
  </sheetPr>
  <dimension ref="A1:H38"/>
  <sheetViews>
    <sheetView zoomScale="145" zoomScaleNormal="145" workbookViewId="0">
      <pane ySplit="2" topLeftCell="A3" activePane="bottomLeft" state="frozen"/>
      <selection pane="bottomLeft" activeCell="B3" sqref="B3:G3"/>
    </sheetView>
  </sheetViews>
  <sheetFormatPr defaultRowHeight="14.4"/>
  <cols>
    <col min="1" max="1" width="5" bestFit="1" customWidth="1"/>
    <col min="2" max="2" width="19.109375" bestFit="1" customWidth="1"/>
    <col min="3" max="3" width="9.88671875" customWidth="1"/>
    <col min="4" max="4" width="10.44140625" customWidth="1"/>
    <col min="5" max="5" width="11.44140625" customWidth="1"/>
    <col min="6" max="6" width="12.44140625" style="13" bestFit="1" customWidth="1"/>
    <col min="7" max="8" width="8.88671875" style="13"/>
  </cols>
  <sheetData>
    <row r="1" spans="1:8" ht="22.65" customHeight="1">
      <c r="A1" s="226" t="s">
        <v>138</v>
      </c>
      <c r="B1" s="226"/>
      <c r="C1" s="226"/>
      <c r="D1" s="226"/>
      <c r="E1" s="226"/>
      <c r="F1" s="226"/>
      <c r="G1" s="226"/>
      <c r="H1" s="226"/>
    </row>
    <row r="2" spans="1:8" ht="48.6" customHeight="1">
      <c r="A2" s="31" t="s">
        <v>12</v>
      </c>
      <c r="B2" s="37" t="s">
        <v>24</v>
      </c>
      <c r="C2" s="107" t="s">
        <v>133</v>
      </c>
      <c r="D2" s="107" t="s">
        <v>134</v>
      </c>
      <c r="E2" s="107" t="s">
        <v>135</v>
      </c>
      <c r="F2" s="189" t="s">
        <v>136</v>
      </c>
      <c r="G2" s="189" t="s">
        <v>6</v>
      </c>
      <c r="H2" s="189" t="s">
        <v>7</v>
      </c>
    </row>
    <row r="3" spans="1:8" s="17" customFormat="1" ht="18" customHeight="1">
      <c r="A3" s="106">
        <v>1</v>
      </c>
      <c r="B3" s="124" t="s">
        <v>148</v>
      </c>
      <c r="C3" s="16">
        <v>2</v>
      </c>
      <c r="D3" s="16">
        <v>2</v>
      </c>
      <c r="E3" s="75">
        <v>0</v>
      </c>
      <c r="F3" s="184">
        <f>IF(C3=0,0,E3/C3*100)</f>
        <v>0</v>
      </c>
      <c r="G3" s="184">
        <f>IF(C3=0,100,(D3/C3)*100)</f>
        <v>100</v>
      </c>
      <c r="H3" s="159">
        <f>G3*5%</f>
        <v>5</v>
      </c>
    </row>
    <row r="4" spans="1:8" s="17" customFormat="1" ht="18" customHeight="1">
      <c r="A4" s="106">
        <v>2</v>
      </c>
      <c r="B4" s="124" t="s">
        <v>149</v>
      </c>
      <c r="C4" s="16">
        <v>3</v>
      </c>
      <c r="D4" s="16">
        <v>3</v>
      </c>
      <c r="E4" s="75">
        <v>0</v>
      </c>
      <c r="F4" s="184">
        <f t="shared" ref="F4:F35" si="0">IF(C4=0,0,E4/C4*100)</f>
        <v>0</v>
      </c>
      <c r="G4" s="184">
        <f t="shared" ref="G4:G35" si="1">IF(C4=0,100,(D4/C4)*100)</f>
        <v>100</v>
      </c>
      <c r="H4" s="159">
        <f t="shared" ref="H4:H35" si="2">G4*5%</f>
        <v>5</v>
      </c>
    </row>
    <row r="5" spans="1:8" s="17" customFormat="1" ht="18" customHeight="1">
      <c r="A5" s="106">
        <v>3</v>
      </c>
      <c r="B5" s="124" t="s">
        <v>150</v>
      </c>
      <c r="C5" s="16">
        <v>5</v>
      </c>
      <c r="D5" s="16">
        <v>5</v>
      </c>
      <c r="E5" s="75">
        <v>0</v>
      </c>
      <c r="F5" s="184">
        <f t="shared" si="0"/>
        <v>0</v>
      </c>
      <c r="G5" s="184">
        <f t="shared" si="1"/>
        <v>100</v>
      </c>
      <c r="H5" s="159">
        <f t="shared" si="2"/>
        <v>5</v>
      </c>
    </row>
    <row r="6" spans="1:8" s="17" customFormat="1" ht="18" customHeight="1">
      <c r="A6" s="106">
        <v>4</v>
      </c>
      <c r="B6" s="124" t="s">
        <v>151</v>
      </c>
      <c r="C6" s="16">
        <v>3</v>
      </c>
      <c r="D6" s="16">
        <v>3</v>
      </c>
      <c r="E6" s="75">
        <v>0</v>
      </c>
      <c r="F6" s="184">
        <f t="shared" si="0"/>
        <v>0</v>
      </c>
      <c r="G6" s="184">
        <f t="shared" si="1"/>
        <v>100</v>
      </c>
      <c r="H6" s="159">
        <f t="shared" si="2"/>
        <v>5</v>
      </c>
    </row>
    <row r="7" spans="1:8" s="17" customFormat="1" ht="18" customHeight="1">
      <c r="A7" s="106">
        <v>5</v>
      </c>
      <c r="B7" s="124" t="s">
        <v>152</v>
      </c>
      <c r="C7" s="16">
        <v>3</v>
      </c>
      <c r="D7" s="16">
        <v>3</v>
      </c>
      <c r="E7" s="75">
        <v>0</v>
      </c>
      <c r="F7" s="184">
        <f t="shared" si="0"/>
        <v>0</v>
      </c>
      <c r="G7" s="184">
        <f t="shared" si="1"/>
        <v>100</v>
      </c>
      <c r="H7" s="159">
        <f t="shared" si="2"/>
        <v>5</v>
      </c>
    </row>
    <row r="8" spans="1:8" s="17" customFormat="1" ht="18" customHeight="1">
      <c r="A8" s="106">
        <v>6</v>
      </c>
      <c r="B8" s="124" t="s">
        <v>153</v>
      </c>
      <c r="C8" s="16">
        <v>2</v>
      </c>
      <c r="D8" s="16">
        <v>2</v>
      </c>
      <c r="E8" s="75">
        <v>0</v>
      </c>
      <c r="F8" s="184">
        <f t="shared" si="0"/>
        <v>0</v>
      </c>
      <c r="G8" s="184">
        <f t="shared" si="1"/>
        <v>100</v>
      </c>
      <c r="H8" s="159">
        <f t="shared" si="2"/>
        <v>5</v>
      </c>
    </row>
    <row r="9" spans="1:8" s="17" customFormat="1" ht="18" customHeight="1">
      <c r="A9" s="106">
        <v>7</v>
      </c>
      <c r="B9" s="124" t="s">
        <v>154</v>
      </c>
      <c r="C9" s="16">
        <v>2</v>
      </c>
      <c r="D9" s="16">
        <v>2</v>
      </c>
      <c r="E9" s="75">
        <v>0</v>
      </c>
      <c r="F9" s="184">
        <f t="shared" si="0"/>
        <v>0</v>
      </c>
      <c r="G9" s="184">
        <f t="shared" si="1"/>
        <v>100</v>
      </c>
      <c r="H9" s="159">
        <f t="shared" si="2"/>
        <v>5</v>
      </c>
    </row>
    <row r="10" spans="1:8" s="17" customFormat="1" ht="18" customHeight="1">
      <c r="A10" s="106">
        <v>8</v>
      </c>
      <c r="B10" s="124" t="s">
        <v>155</v>
      </c>
      <c r="C10" s="16">
        <v>2</v>
      </c>
      <c r="D10" s="16">
        <v>2</v>
      </c>
      <c r="E10" s="75">
        <v>0</v>
      </c>
      <c r="F10" s="184">
        <f t="shared" si="0"/>
        <v>0</v>
      </c>
      <c r="G10" s="184">
        <f t="shared" si="1"/>
        <v>100</v>
      </c>
      <c r="H10" s="159">
        <f t="shared" si="2"/>
        <v>5</v>
      </c>
    </row>
    <row r="11" spans="1:8" s="17" customFormat="1" ht="18" customHeight="1">
      <c r="A11" s="106">
        <v>9</v>
      </c>
      <c r="B11" s="124" t="s">
        <v>156</v>
      </c>
      <c r="C11" s="16">
        <v>2</v>
      </c>
      <c r="D11" s="16">
        <v>2</v>
      </c>
      <c r="E11" s="75">
        <v>0</v>
      </c>
      <c r="F11" s="184">
        <f t="shared" si="0"/>
        <v>0</v>
      </c>
      <c r="G11" s="184">
        <f t="shared" si="1"/>
        <v>100</v>
      </c>
      <c r="H11" s="159">
        <f t="shared" si="2"/>
        <v>5</v>
      </c>
    </row>
    <row r="12" spans="1:8" s="17" customFormat="1" ht="18" customHeight="1">
      <c r="A12" s="106">
        <v>10</v>
      </c>
      <c r="B12" s="124" t="s">
        <v>157</v>
      </c>
      <c r="C12" s="16">
        <v>2</v>
      </c>
      <c r="D12" s="16">
        <v>2</v>
      </c>
      <c r="E12" s="75">
        <v>0</v>
      </c>
      <c r="F12" s="184">
        <f t="shared" si="0"/>
        <v>0</v>
      </c>
      <c r="G12" s="184">
        <f t="shared" si="1"/>
        <v>100</v>
      </c>
      <c r="H12" s="159">
        <f t="shared" si="2"/>
        <v>5</v>
      </c>
    </row>
    <row r="13" spans="1:8" s="17" customFormat="1" ht="18" customHeight="1">
      <c r="A13" s="106">
        <v>11</v>
      </c>
      <c r="B13" s="124" t="s">
        <v>158</v>
      </c>
      <c r="C13" s="16">
        <v>3</v>
      </c>
      <c r="D13" s="16">
        <v>1</v>
      </c>
      <c r="E13" s="75">
        <v>2</v>
      </c>
      <c r="F13" s="184">
        <f t="shared" si="0"/>
        <v>66.666666666666657</v>
      </c>
      <c r="G13" s="184">
        <f t="shared" si="1"/>
        <v>33.333333333333329</v>
      </c>
      <c r="H13" s="159">
        <f t="shared" si="2"/>
        <v>1.6666666666666665</v>
      </c>
    </row>
    <row r="14" spans="1:8" s="17" customFormat="1" ht="18" customHeight="1">
      <c r="A14" s="106">
        <v>12</v>
      </c>
      <c r="B14" s="124" t="s">
        <v>159</v>
      </c>
      <c r="C14" s="16">
        <v>2</v>
      </c>
      <c r="D14" s="16">
        <v>1</v>
      </c>
      <c r="E14" s="75">
        <v>1</v>
      </c>
      <c r="F14" s="184">
        <f t="shared" si="0"/>
        <v>50</v>
      </c>
      <c r="G14" s="184">
        <f t="shared" si="1"/>
        <v>50</v>
      </c>
      <c r="H14" s="159">
        <f t="shared" si="2"/>
        <v>2.5</v>
      </c>
    </row>
    <row r="15" spans="1:8" s="17" customFormat="1" ht="18" customHeight="1">
      <c r="A15" s="106">
        <v>13</v>
      </c>
      <c r="B15" s="124" t="s">
        <v>160</v>
      </c>
      <c r="C15" s="16">
        <v>3</v>
      </c>
      <c r="D15" s="16">
        <v>3</v>
      </c>
      <c r="E15" s="75">
        <v>0</v>
      </c>
      <c r="F15" s="184">
        <f t="shared" si="0"/>
        <v>0</v>
      </c>
      <c r="G15" s="184">
        <f t="shared" si="1"/>
        <v>100</v>
      </c>
      <c r="H15" s="159">
        <f t="shared" si="2"/>
        <v>5</v>
      </c>
    </row>
    <row r="16" spans="1:8" s="17" customFormat="1" ht="18" customHeight="1">
      <c r="A16" s="106">
        <v>14</v>
      </c>
      <c r="B16" s="124" t="s">
        <v>161</v>
      </c>
      <c r="C16" s="16">
        <v>2</v>
      </c>
      <c r="D16" s="16">
        <v>1</v>
      </c>
      <c r="E16" s="75">
        <v>1</v>
      </c>
      <c r="F16" s="184">
        <f t="shared" si="0"/>
        <v>50</v>
      </c>
      <c r="G16" s="184">
        <f t="shared" si="1"/>
        <v>50</v>
      </c>
      <c r="H16" s="159">
        <f t="shared" si="2"/>
        <v>2.5</v>
      </c>
    </row>
    <row r="17" spans="1:8" s="17" customFormat="1" ht="18" customHeight="1">
      <c r="A17" s="106">
        <v>15</v>
      </c>
      <c r="B17" s="124" t="s">
        <v>162</v>
      </c>
      <c r="C17" s="16">
        <v>2</v>
      </c>
      <c r="D17" s="16">
        <v>2</v>
      </c>
      <c r="E17" s="75">
        <v>0</v>
      </c>
      <c r="F17" s="184">
        <f t="shared" si="0"/>
        <v>0</v>
      </c>
      <c r="G17" s="184">
        <f t="shared" si="1"/>
        <v>100</v>
      </c>
      <c r="H17" s="159">
        <f t="shared" si="2"/>
        <v>5</v>
      </c>
    </row>
    <row r="18" spans="1:8" s="17" customFormat="1" ht="18" customHeight="1">
      <c r="A18" s="106">
        <v>16</v>
      </c>
      <c r="B18" s="124" t="s">
        <v>163</v>
      </c>
      <c r="C18" s="16">
        <v>3</v>
      </c>
      <c r="D18" s="16">
        <v>3</v>
      </c>
      <c r="E18" s="75">
        <v>0</v>
      </c>
      <c r="F18" s="184">
        <f t="shared" si="0"/>
        <v>0</v>
      </c>
      <c r="G18" s="184">
        <f t="shared" si="1"/>
        <v>100</v>
      </c>
      <c r="H18" s="159">
        <f t="shared" si="2"/>
        <v>5</v>
      </c>
    </row>
    <row r="19" spans="1:8" s="17" customFormat="1" ht="18" customHeight="1">
      <c r="A19" s="106">
        <v>17</v>
      </c>
      <c r="B19" s="124" t="s">
        <v>164</v>
      </c>
      <c r="C19" s="16">
        <v>3</v>
      </c>
      <c r="D19" s="16">
        <v>3</v>
      </c>
      <c r="E19" s="75">
        <v>0</v>
      </c>
      <c r="F19" s="184">
        <f t="shared" si="0"/>
        <v>0</v>
      </c>
      <c r="G19" s="184">
        <f t="shared" si="1"/>
        <v>100</v>
      </c>
      <c r="H19" s="159">
        <f t="shared" si="2"/>
        <v>5</v>
      </c>
    </row>
    <row r="20" spans="1:8" s="17" customFormat="1" ht="18" customHeight="1">
      <c r="A20" s="106">
        <v>18</v>
      </c>
      <c r="B20" s="124" t="s">
        <v>165</v>
      </c>
      <c r="C20" s="16">
        <v>4</v>
      </c>
      <c r="D20" s="16">
        <v>3</v>
      </c>
      <c r="E20" s="75">
        <v>1</v>
      </c>
      <c r="F20" s="184">
        <f t="shared" si="0"/>
        <v>25</v>
      </c>
      <c r="G20" s="184">
        <f t="shared" si="1"/>
        <v>75</v>
      </c>
      <c r="H20" s="159">
        <f t="shared" si="2"/>
        <v>3.75</v>
      </c>
    </row>
    <row r="21" spans="1:8" s="17" customFormat="1" ht="18" customHeight="1">
      <c r="A21" s="106">
        <v>19</v>
      </c>
      <c r="B21" s="124" t="s">
        <v>166</v>
      </c>
      <c r="C21" s="16">
        <v>3</v>
      </c>
      <c r="D21" s="16">
        <v>3</v>
      </c>
      <c r="E21" s="75">
        <v>0</v>
      </c>
      <c r="F21" s="184">
        <f t="shared" si="0"/>
        <v>0</v>
      </c>
      <c r="G21" s="184">
        <f t="shared" si="1"/>
        <v>100</v>
      </c>
      <c r="H21" s="159">
        <f t="shared" si="2"/>
        <v>5</v>
      </c>
    </row>
    <row r="22" spans="1:8" s="17" customFormat="1" ht="18" customHeight="1">
      <c r="A22" s="106">
        <v>20</v>
      </c>
      <c r="B22" s="124" t="s">
        <v>167</v>
      </c>
      <c r="C22" s="16">
        <v>3</v>
      </c>
      <c r="D22" s="16">
        <v>3</v>
      </c>
      <c r="E22" s="75">
        <v>0</v>
      </c>
      <c r="F22" s="184">
        <f t="shared" si="0"/>
        <v>0</v>
      </c>
      <c r="G22" s="184">
        <f t="shared" si="1"/>
        <v>100</v>
      </c>
      <c r="H22" s="159">
        <f t="shared" si="2"/>
        <v>5</v>
      </c>
    </row>
    <row r="23" spans="1:8" s="17" customFormat="1" ht="18" customHeight="1">
      <c r="A23" s="106">
        <v>21</v>
      </c>
      <c r="B23" s="124" t="s">
        <v>168</v>
      </c>
      <c r="C23" s="16">
        <v>3</v>
      </c>
      <c r="D23" s="16">
        <v>3</v>
      </c>
      <c r="E23" s="75">
        <v>0</v>
      </c>
      <c r="F23" s="184">
        <f t="shared" si="0"/>
        <v>0</v>
      </c>
      <c r="G23" s="184">
        <f t="shared" si="1"/>
        <v>100</v>
      </c>
      <c r="H23" s="159">
        <f t="shared" si="2"/>
        <v>5</v>
      </c>
    </row>
    <row r="24" spans="1:8" s="17" customFormat="1" ht="18" customHeight="1">
      <c r="A24" s="106">
        <v>22</v>
      </c>
      <c r="B24" s="124" t="s">
        <v>169</v>
      </c>
      <c r="C24" s="16">
        <v>2</v>
      </c>
      <c r="D24" s="16">
        <v>2</v>
      </c>
      <c r="E24" s="75">
        <v>0</v>
      </c>
      <c r="F24" s="184">
        <f t="shared" si="0"/>
        <v>0</v>
      </c>
      <c r="G24" s="184">
        <f t="shared" si="1"/>
        <v>100</v>
      </c>
      <c r="H24" s="159">
        <f t="shared" si="2"/>
        <v>5</v>
      </c>
    </row>
    <row r="25" spans="1:8" s="17" customFormat="1" ht="18" customHeight="1">
      <c r="A25" s="106">
        <v>23</v>
      </c>
      <c r="B25" s="124" t="s">
        <v>170</v>
      </c>
      <c r="C25" s="16">
        <v>2</v>
      </c>
      <c r="D25" s="16">
        <v>2</v>
      </c>
      <c r="E25" s="75">
        <v>0</v>
      </c>
      <c r="F25" s="184">
        <f t="shared" si="0"/>
        <v>0</v>
      </c>
      <c r="G25" s="184">
        <f t="shared" si="1"/>
        <v>100</v>
      </c>
      <c r="H25" s="159">
        <f t="shared" si="2"/>
        <v>5</v>
      </c>
    </row>
    <row r="26" spans="1:8" s="17" customFormat="1" ht="18" customHeight="1">
      <c r="A26" s="106">
        <v>24</v>
      </c>
      <c r="B26" s="124" t="s">
        <v>171</v>
      </c>
      <c r="C26" s="16">
        <v>3</v>
      </c>
      <c r="D26" s="16">
        <v>3</v>
      </c>
      <c r="E26" s="75">
        <v>0</v>
      </c>
      <c r="F26" s="184">
        <f t="shared" si="0"/>
        <v>0</v>
      </c>
      <c r="G26" s="184">
        <f t="shared" si="1"/>
        <v>100</v>
      </c>
      <c r="H26" s="159">
        <f t="shared" si="2"/>
        <v>5</v>
      </c>
    </row>
    <row r="27" spans="1:8" s="17" customFormat="1" ht="18" customHeight="1">
      <c r="A27" s="106">
        <v>25</v>
      </c>
      <c r="B27" s="124" t="s">
        <v>172</v>
      </c>
      <c r="C27" s="16">
        <v>3</v>
      </c>
      <c r="D27" s="16">
        <v>3</v>
      </c>
      <c r="E27" s="75">
        <v>0</v>
      </c>
      <c r="F27" s="184">
        <f t="shared" si="0"/>
        <v>0</v>
      </c>
      <c r="G27" s="184">
        <f t="shared" si="1"/>
        <v>100</v>
      </c>
      <c r="H27" s="159">
        <f t="shared" si="2"/>
        <v>5</v>
      </c>
    </row>
    <row r="28" spans="1:8" s="17" customFormat="1" ht="18" customHeight="1">
      <c r="A28" s="106">
        <v>26</v>
      </c>
      <c r="B28" s="124" t="s">
        <v>173</v>
      </c>
      <c r="C28" s="16">
        <v>2</v>
      </c>
      <c r="D28" s="16">
        <v>2</v>
      </c>
      <c r="E28" s="75">
        <v>0</v>
      </c>
      <c r="F28" s="184">
        <f t="shared" si="0"/>
        <v>0</v>
      </c>
      <c r="G28" s="184">
        <f t="shared" si="1"/>
        <v>100</v>
      </c>
      <c r="H28" s="159">
        <f t="shared" si="2"/>
        <v>5</v>
      </c>
    </row>
    <row r="29" spans="1:8" s="17" customFormat="1" ht="18" customHeight="1">
      <c r="A29" s="106">
        <v>27</v>
      </c>
      <c r="B29" s="124" t="s">
        <v>174</v>
      </c>
      <c r="C29" s="75">
        <v>2</v>
      </c>
      <c r="D29" s="75">
        <v>2</v>
      </c>
      <c r="E29" s="75">
        <v>0</v>
      </c>
      <c r="F29" s="184">
        <f t="shared" si="0"/>
        <v>0</v>
      </c>
      <c r="G29" s="184">
        <f t="shared" si="1"/>
        <v>100</v>
      </c>
      <c r="H29" s="159">
        <f t="shared" si="2"/>
        <v>5</v>
      </c>
    </row>
    <row r="30" spans="1:8" s="17" customFormat="1" ht="18" customHeight="1">
      <c r="A30" s="106">
        <v>28</v>
      </c>
      <c r="B30" s="124" t="s">
        <v>175</v>
      </c>
      <c r="C30" s="16">
        <v>2</v>
      </c>
      <c r="D30" s="16">
        <v>2</v>
      </c>
      <c r="E30" s="75">
        <v>0</v>
      </c>
      <c r="F30" s="184">
        <f t="shared" si="0"/>
        <v>0</v>
      </c>
      <c r="G30" s="184">
        <f t="shared" si="1"/>
        <v>100</v>
      </c>
      <c r="H30" s="159">
        <f t="shared" si="2"/>
        <v>5</v>
      </c>
    </row>
    <row r="31" spans="1:8" s="17" customFormat="1" ht="18" customHeight="1">
      <c r="A31" s="106">
        <v>29</v>
      </c>
      <c r="B31" s="124" t="s">
        <v>176</v>
      </c>
      <c r="C31" s="16">
        <v>3</v>
      </c>
      <c r="D31" s="16">
        <v>3</v>
      </c>
      <c r="E31" s="75">
        <v>0</v>
      </c>
      <c r="F31" s="184">
        <f t="shared" si="0"/>
        <v>0</v>
      </c>
      <c r="G31" s="184">
        <f t="shared" si="1"/>
        <v>100</v>
      </c>
      <c r="H31" s="159">
        <f t="shared" si="2"/>
        <v>5</v>
      </c>
    </row>
    <row r="32" spans="1:8" s="17" customFormat="1" ht="18" customHeight="1">
      <c r="A32" s="106">
        <v>30</v>
      </c>
      <c r="B32" s="124" t="s">
        <v>177</v>
      </c>
      <c r="C32" s="75">
        <v>2</v>
      </c>
      <c r="D32" s="75">
        <v>2</v>
      </c>
      <c r="E32" s="75">
        <v>0</v>
      </c>
      <c r="F32" s="184">
        <f t="shared" si="0"/>
        <v>0</v>
      </c>
      <c r="G32" s="184">
        <f t="shared" si="1"/>
        <v>100</v>
      </c>
      <c r="H32" s="159">
        <f t="shared" si="2"/>
        <v>5</v>
      </c>
    </row>
    <row r="33" spans="1:8" s="17" customFormat="1" ht="18" customHeight="1">
      <c r="A33" s="106">
        <v>31</v>
      </c>
      <c r="B33" s="124" t="s">
        <v>178</v>
      </c>
      <c r="C33" s="16">
        <v>2</v>
      </c>
      <c r="D33" s="16">
        <v>2</v>
      </c>
      <c r="E33" s="75">
        <v>0</v>
      </c>
      <c r="F33" s="184">
        <f t="shared" si="0"/>
        <v>0</v>
      </c>
      <c r="G33" s="184">
        <f t="shared" si="1"/>
        <v>100</v>
      </c>
      <c r="H33" s="159">
        <f t="shared" si="2"/>
        <v>5</v>
      </c>
    </row>
    <row r="34" spans="1:8" s="17" customFormat="1" ht="18" customHeight="1">
      <c r="A34" s="106">
        <v>32</v>
      </c>
      <c r="B34" s="124" t="s">
        <v>179</v>
      </c>
      <c r="C34" s="16">
        <v>1</v>
      </c>
      <c r="D34" s="16">
        <v>1</v>
      </c>
      <c r="E34" s="75">
        <v>0</v>
      </c>
      <c r="F34" s="184">
        <f t="shared" si="0"/>
        <v>0</v>
      </c>
      <c r="G34" s="184">
        <f t="shared" si="1"/>
        <v>100</v>
      </c>
      <c r="H34" s="159">
        <f t="shared" si="2"/>
        <v>5</v>
      </c>
    </row>
    <row r="35" spans="1:8" s="17" customFormat="1" ht="18" customHeight="1">
      <c r="A35" s="106">
        <v>33</v>
      </c>
      <c r="B35" s="124" t="s">
        <v>180</v>
      </c>
      <c r="C35" s="16">
        <v>1</v>
      </c>
      <c r="D35" s="16">
        <v>1</v>
      </c>
      <c r="E35" s="75">
        <v>0</v>
      </c>
      <c r="F35" s="184">
        <f t="shared" si="0"/>
        <v>0</v>
      </c>
      <c r="G35" s="184">
        <f t="shared" si="1"/>
        <v>100</v>
      </c>
      <c r="H35" s="159">
        <f t="shared" si="2"/>
        <v>5</v>
      </c>
    </row>
    <row r="36" spans="1:8" s="17" customFormat="1" ht="18" customHeight="1">
      <c r="A36" s="238" t="s">
        <v>137</v>
      </c>
      <c r="B36" s="239"/>
      <c r="C36" s="108">
        <f>SUM(C3:C35)</f>
        <v>82</v>
      </c>
      <c r="D36" s="108">
        <f t="shared" ref="D36:E36" si="3">SUM(D3:D35)</f>
        <v>77</v>
      </c>
      <c r="E36" s="108">
        <f t="shared" si="3"/>
        <v>5</v>
      </c>
      <c r="F36" s="190">
        <f>AVERAGE(F3:F35)</f>
        <v>5.808080808080808</v>
      </c>
      <c r="G36" s="190">
        <f t="shared" ref="G36:H36" si="4">AVERAGE(G3:G35)</f>
        <v>94.191919191919183</v>
      </c>
      <c r="H36" s="190">
        <f t="shared" si="4"/>
        <v>4.7095959595959593</v>
      </c>
    </row>
    <row r="37" spans="1:8" ht="25.35" customHeight="1"/>
    <row r="38" spans="1:8" ht="25.35" customHeight="1"/>
  </sheetData>
  <mergeCells count="2">
    <mergeCell ref="A1:H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D3A5-FC37-4E98-B45D-E7F5051394AB}">
  <sheetPr codeName="Sheet49">
    <tabColor theme="7" tint="0.39997558519241921"/>
    <pageSetUpPr fitToPage="1"/>
  </sheetPr>
  <dimension ref="A1:H36"/>
  <sheetViews>
    <sheetView zoomScale="130" zoomScaleNormal="130" workbookViewId="0">
      <pane ySplit="2" topLeftCell="A3" activePane="bottomLeft" state="frozen"/>
      <selection pane="bottomLeft" activeCell="B3" sqref="B3:G3"/>
    </sheetView>
  </sheetViews>
  <sheetFormatPr defaultRowHeight="14.4"/>
  <cols>
    <col min="1" max="1" width="5" bestFit="1" customWidth="1"/>
    <col min="2" max="2" width="22.44140625" customWidth="1"/>
    <col min="3" max="3" width="11.44140625" customWidth="1"/>
    <col min="4" max="4" width="12.109375" customWidth="1"/>
    <col min="5" max="5" width="11.44140625" customWidth="1"/>
    <col min="6" max="6" width="13" customWidth="1"/>
    <col min="7" max="7" width="8.88671875" customWidth="1"/>
  </cols>
  <sheetData>
    <row r="1" spans="1:8" ht="25.35" customHeight="1">
      <c r="A1" s="226" t="s">
        <v>143</v>
      </c>
      <c r="B1" s="226"/>
      <c r="C1" s="226"/>
      <c r="D1" s="226"/>
      <c r="E1" s="226"/>
      <c r="F1" s="226"/>
      <c r="G1" s="226"/>
      <c r="H1" s="226"/>
    </row>
    <row r="2" spans="1:8" ht="66.599999999999994" customHeight="1">
      <c r="A2" s="1" t="s">
        <v>12</v>
      </c>
      <c r="B2" s="1" t="s">
        <v>24</v>
      </c>
      <c r="C2" s="109" t="s">
        <v>139</v>
      </c>
      <c r="D2" s="109" t="s">
        <v>140</v>
      </c>
      <c r="E2" s="109" t="s">
        <v>141</v>
      </c>
      <c r="F2" s="110" t="s">
        <v>142</v>
      </c>
      <c r="G2" s="191" t="s">
        <v>6</v>
      </c>
      <c r="H2" s="191" t="s">
        <v>7</v>
      </c>
    </row>
    <row r="3" spans="1:8" ht="18" customHeight="1">
      <c r="A3" s="106">
        <v>1</v>
      </c>
      <c r="B3" s="124" t="s">
        <v>148</v>
      </c>
      <c r="C3" s="75">
        <v>1</v>
      </c>
      <c r="D3" s="75">
        <v>1</v>
      </c>
      <c r="E3" s="75">
        <v>0</v>
      </c>
      <c r="F3" s="98" t="s">
        <v>193</v>
      </c>
      <c r="G3" s="184" cm="1">
        <f t="array" ref="G3">IF(C3=0,50,100-((TIMEVALUE(SUBSTITUTE(F3,".",":"))-MIN(IF($C$3:$C$35&gt;0,TIMEVALUE(SUBSTITUTE($F$3:$F$35,".",":")))))/(MAX(IF($C$3:$C$35&gt;0,TIMEVALUE(SUBSTITUTE($F$3:$F$35,".",":"))))-MIN(IF($C$3:$C$35&gt;0,TIMEVALUE(SUBSTITUTE($F$3:$F$35,".",":"))))))*100)</f>
        <v>96.371882086167801</v>
      </c>
      <c r="H3" s="184">
        <f>G3*5%</f>
        <v>4.8185941043083904</v>
      </c>
    </row>
    <row r="4" spans="1:8" ht="18" customHeight="1">
      <c r="A4" s="106">
        <v>2</v>
      </c>
      <c r="B4" s="124" t="s">
        <v>149</v>
      </c>
      <c r="C4" s="75">
        <v>20</v>
      </c>
      <c r="D4" s="75">
        <v>20</v>
      </c>
      <c r="E4" s="75">
        <v>0</v>
      </c>
      <c r="F4" s="98" t="s">
        <v>194</v>
      </c>
      <c r="G4" s="184" cm="1">
        <f t="array" ref="G4">IF(C4=0,50,100-((TIMEVALUE(SUBSTITUTE(F4,".",":"))-MIN(IF($C$3:$C$35&gt;0,TIMEVALUE(SUBSTITUTE($F$3:$F$35,".",":")))))/(MAX(IF($C$3:$C$35&gt;0,TIMEVALUE(SUBSTITUTE($F$3:$F$35,".",":"))))-MIN(IF($C$3:$C$35&gt;0,TIMEVALUE(SUBSTITUTE($F$3:$F$35,".",":"))))))*100)</f>
        <v>62.585034013605444</v>
      </c>
      <c r="H4" s="184">
        <f t="shared" ref="H4:H35" si="0">G4*5%</f>
        <v>3.1292517006802725</v>
      </c>
    </row>
    <row r="5" spans="1:8" ht="18" customHeight="1">
      <c r="A5" s="106">
        <v>3</v>
      </c>
      <c r="B5" s="124" t="s">
        <v>150</v>
      </c>
      <c r="C5" s="75">
        <v>38</v>
      </c>
      <c r="D5" s="75">
        <v>38</v>
      </c>
      <c r="E5" s="75">
        <v>0</v>
      </c>
      <c r="F5" s="98" t="s">
        <v>195</v>
      </c>
      <c r="G5" s="184" cm="1">
        <f t="array" ref="G5">IF(C5=0,50,100-((TIMEVALUE(SUBSTITUTE(F5,".",":"))-MIN(IF($C$3:$C$35&gt;0,TIMEVALUE(SUBSTITUTE($F$3:$F$35,".",":")))))/(MAX(IF($C$3:$C$35&gt;0,TIMEVALUE(SUBSTITUTE($F$3:$F$35,".",":"))))-MIN(IF($C$3:$C$35&gt;0,TIMEVALUE(SUBSTITUTE($F$3:$F$35,".",":"))))))*100)</f>
        <v>66.213151927437636</v>
      </c>
      <c r="H5" s="184">
        <f t="shared" si="0"/>
        <v>3.3106575963718821</v>
      </c>
    </row>
    <row r="6" spans="1:8" ht="18" customHeight="1">
      <c r="A6" s="106">
        <v>4</v>
      </c>
      <c r="B6" s="124" t="s">
        <v>151</v>
      </c>
      <c r="C6" s="75">
        <v>0</v>
      </c>
      <c r="D6" s="75">
        <v>0</v>
      </c>
      <c r="E6" s="75">
        <v>0</v>
      </c>
      <c r="F6" s="98" t="s">
        <v>196</v>
      </c>
      <c r="G6" s="184" cm="1">
        <f t="array" ref="G6">IF(C6=0,50,100-((TIMEVALUE(SUBSTITUTE(F6,".",":"))-MIN(IF($C$3:$C$35&gt;0,TIMEVALUE(SUBSTITUTE($F$3:$F$35,".",":")))))/(MAX(IF($C$3:$C$35&gt;0,TIMEVALUE(SUBSTITUTE($F$3:$F$35,".",":"))))-MIN(IF($C$3:$C$35&gt;0,TIMEVALUE(SUBSTITUTE($F$3:$F$35,".",":"))))))*100)</f>
        <v>50</v>
      </c>
      <c r="H6" s="184">
        <f t="shared" si="0"/>
        <v>2.5</v>
      </c>
    </row>
    <row r="7" spans="1:8" ht="18" customHeight="1">
      <c r="A7" s="106">
        <v>5</v>
      </c>
      <c r="B7" s="124" t="s">
        <v>152</v>
      </c>
      <c r="C7" s="75">
        <v>15</v>
      </c>
      <c r="D7" s="75">
        <v>15</v>
      </c>
      <c r="E7" s="75">
        <v>0</v>
      </c>
      <c r="F7" s="98" t="s">
        <v>197</v>
      </c>
      <c r="G7" s="184" cm="1">
        <f t="array" ref="G7">IF(C7=0,50,100-((TIMEVALUE(SUBSTITUTE(F7,".",":"))-MIN(IF($C$3:$C$35&gt;0,TIMEVALUE(SUBSTITUTE($F$3:$F$35,".",":")))))/(MAX(IF($C$3:$C$35&gt;0,TIMEVALUE(SUBSTITUTE($F$3:$F$35,".",":"))))-MIN(IF($C$3:$C$35&gt;0,TIMEVALUE(SUBSTITUTE($F$3:$F$35,".",":"))))))*100)</f>
        <v>57.142857142857139</v>
      </c>
      <c r="H7" s="184">
        <f t="shared" si="0"/>
        <v>2.8571428571428572</v>
      </c>
    </row>
    <row r="8" spans="1:8" ht="18" customHeight="1">
      <c r="A8" s="106">
        <v>6</v>
      </c>
      <c r="B8" s="124" t="s">
        <v>153</v>
      </c>
      <c r="C8" s="75">
        <v>7</v>
      </c>
      <c r="D8" s="75">
        <v>7</v>
      </c>
      <c r="E8" s="75">
        <v>0</v>
      </c>
      <c r="F8" s="98" t="s">
        <v>198</v>
      </c>
      <c r="G8" s="184" cm="1">
        <f t="array" ref="G8">IF(C8=0,50,100-((TIMEVALUE(SUBSTITUTE(F8,".",":"))-MIN(IF($C$3:$C$35&gt;0,TIMEVALUE(SUBSTITUTE($F$3:$F$35,".",":")))))/(MAX(IF($C$3:$C$35&gt;0,TIMEVALUE(SUBSTITUTE($F$3:$F$35,".",":"))))-MIN(IF($C$3:$C$35&gt;0,TIMEVALUE(SUBSTITUTE($F$3:$F$35,".",":"))))))*100)</f>
        <v>74.829931972789112</v>
      </c>
      <c r="H8" s="184">
        <f t="shared" si="0"/>
        <v>3.7414965986394559</v>
      </c>
    </row>
    <row r="9" spans="1:8" ht="18" customHeight="1">
      <c r="A9" s="106">
        <v>7</v>
      </c>
      <c r="B9" s="124" t="s">
        <v>154</v>
      </c>
      <c r="C9" s="75">
        <v>3</v>
      </c>
      <c r="D9" s="75">
        <v>3</v>
      </c>
      <c r="E9" s="75">
        <v>0</v>
      </c>
      <c r="F9" s="98" t="s">
        <v>199</v>
      </c>
      <c r="G9" s="184" cm="1">
        <f t="array" ref="G9">IF(C9=0,50,100-((TIMEVALUE(SUBSTITUTE(F9,".",":"))-MIN(IF($C$3:$C$35&gt;0,TIMEVALUE(SUBSTITUTE($F$3:$F$35,".",":")))))/(MAX(IF($C$3:$C$35&gt;0,TIMEVALUE(SUBSTITUTE($F$3:$F$35,".",":"))))-MIN(IF($C$3:$C$35&gt;0,TIMEVALUE(SUBSTITUTE($F$3:$F$35,".",":"))))))*100)</f>
        <v>75.510204081632651</v>
      </c>
      <c r="H9" s="184">
        <f t="shared" si="0"/>
        <v>3.7755102040816326</v>
      </c>
    </row>
    <row r="10" spans="1:8" ht="18" customHeight="1">
      <c r="A10" s="106">
        <v>8</v>
      </c>
      <c r="B10" s="124" t="s">
        <v>155</v>
      </c>
      <c r="C10" s="75">
        <v>10</v>
      </c>
      <c r="D10" s="75">
        <v>10</v>
      </c>
      <c r="E10" s="75">
        <v>0</v>
      </c>
      <c r="F10" s="98" t="s">
        <v>200</v>
      </c>
      <c r="G10" s="184" cm="1">
        <f t="array" ref="G10">IF(C10=0,50,100-((TIMEVALUE(SUBSTITUTE(F10,".",":"))-MIN(IF($C$3:$C$35&gt;0,TIMEVALUE(SUBSTITUTE($F$3:$F$35,".",":")))))/(MAX(IF($C$3:$C$35&gt;0,TIMEVALUE(SUBSTITUTE($F$3:$F$35,".",":"))))-MIN(IF($C$3:$C$35&gt;0,TIMEVALUE(SUBSTITUTE($F$3:$F$35,".",":"))))))*100)</f>
        <v>34.693877551020407</v>
      </c>
      <c r="H10" s="184">
        <f t="shared" si="0"/>
        <v>1.7346938775510203</v>
      </c>
    </row>
    <row r="11" spans="1:8" ht="18" customHeight="1">
      <c r="A11" s="106">
        <v>9</v>
      </c>
      <c r="B11" s="124" t="s">
        <v>156</v>
      </c>
      <c r="C11" s="75">
        <v>5</v>
      </c>
      <c r="D11" s="75">
        <v>5</v>
      </c>
      <c r="E11" s="75">
        <v>0</v>
      </c>
      <c r="F11" s="98" t="s">
        <v>201</v>
      </c>
      <c r="G11" s="184" cm="1">
        <f t="array" ref="G11">IF(C11=0,50,100-((TIMEVALUE(SUBSTITUTE(F11,".",":"))-MIN(IF($C$3:$C$35&gt;0,TIMEVALUE(SUBSTITUTE($F$3:$F$35,".",":")))))/(MAX(IF($C$3:$C$35&gt;0,TIMEVALUE(SUBSTITUTE($F$3:$F$35,".",":"))))-MIN(IF($C$3:$C$35&gt;0,TIMEVALUE(SUBSTITUTE($F$3:$F$35,".",":"))))))*100)</f>
        <v>76.870748299319729</v>
      </c>
      <c r="H11" s="184">
        <f t="shared" si="0"/>
        <v>3.8435374149659864</v>
      </c>
    </row>
    <row r="12" spans="1:8" ht="18" customHeight="1">
      <c r="A12" s="106">
        <v>10</v>
      </c>
      <c r="B12" s="124" t="s">
        <v>157</v>
      </c>
      <c r="C12" s="75">
        <v>0</v>
      </c>
      <c r="D12" s="75">
        <v>0</v>
      </c>
      <c r="E12" s="75">
        <v>0</v>
      </c>
      <c r="F12" s="98" t="s">
        <v>196</v>
      </c>
      <c r="G12" s="184" cm="1">
        <f t="array" ref="G12">IF(C12=0,50,100-((TIMEVALUE(SUBSTITUTE(F12,".",":"))-MIN(IF($C$3:$C$35&gt;0,TIMEVALUE(SUBSTITUTE($F$3:$F$35,".",":")))))/(MAX(IF($C$3:$C$35&gt;0,TIMEVALUE(SUBSTITUTE($F$3:$F$35,".",":"))))-MIN(IF($C$3:$C$35&gt;0,TIMEVALUE(SUBSTITUTE($F$3:$F$35,".",":"))))))*100)</f>
        <v>50</v>
      </c>
      <c r="H12" s="184">
        <f t="shared" si="0"/>
        <v>2.5</v>
      </c>
    </row>
    <row r="13" spans="1:8" ht="18" customHeight="1">
      <c r="A13" s="106">
        <v>11</v>
      </c>
      <c r="B13" s="124" t="s">
        <v>158</v>
      </c>
      <c r="C13" s="75">
        <v>1</v>
      </c>
      <c r="D13" s="75">
        <v>1</v>
      </c>
      <c r="E13" s="75">
        <v>0</v>
      </c>
      <c r="F13" s="98" t="s">
        <v>202</v>
      </c>
      <c r="G13" s="184" cm="1">
        <f t="array" ref="G13">IF(C13=0,50,100-((TIMEVALUE(SUBSTITUTE(F13,".",":"))-MIN(IF($C$3:$C$35&gt;0,TIMEVALUE(SUBSTITUTE($F$3:$F$35,".",":")))))/(MAX(IF($C$3:$C$35&gt;0,TIMEVALUE(SUBSTITUTE($F$3:$F$35,".",":"))))-MIN(IF($C$3:$C$35&gt;0,TIMEVALUE(SUBSTITUTE($F$3:$F$35,".",":"))))))*100)</f>
        <v>48.072562358276642</v>
      </c>
      <c r="H13" s="184">
        <f t="shared" si="0"/>
        <v>2.4036281179138324</v>
      </c>
    </row>
    <row r="14" spans="1:8" ht="18" customHeight="1">
      <c r="A14" s="106">
        <v>12</v>
      </c>
      <c r="B14" s="124" t="s">
        <v>159</v>
      </c>
      <c r="C14" s="75">
        <v>4</v>
      </c>
      <c r="D14" s="75">
        <v>4</v>
      </c>
      <c r="E14" s="75">
        <v>0</v>
      </c>
      <c r="F14" s="98" t="s">
        <v>203</v>
      </c>
      <c r="G14" s="184" cm="1">
        <f t="array" ref="G14">IF(C14=0,50,100-((TIMEVALUE(SUBSTITUTE(F14,".",":"))-MIN(IF($C$3:$C$35&gt;0,TIMEVALUE(SUBSTITUTE($F$3:$F$35,".",":")))))/(MAX(IF($C$3:$C$35&gt;0,TIMEVALUE(SUBSTITUTE($F$3:$F$35,".",":"))))-MIN(IF($C$3:$C$35&gt;0,TIMEVALUE(SUBSTITUTE($F$3:$F$35,".",":"))))))*100)</f>
        <v>14.965986394557817</v>
      </c>
      <c r="H14" s="184">
        <f t="shared" si="0"/>
        <v>0.74829931972789088</v>
      </c>
    </row>
    <row r="15" spans="1:8" ht="18" customHeight="1">
      <c r="A15" s="106">
        <v>13</v>
      </c>
      <c r="B15" s="124" t="s">
        <v>160</v>
      </c>
      <c r="C15" s="75">
        <v>12</v>
      </c>
      <c r="D15" s="75">
        <v>12</v>
      </c>
      <c r="E15" s="75">
        <v>0</v>
      </c>
      <c r="F15" s="98" t="s">
        <v>204</v>
      </c>
      <c r="G15" s="184" cm="1">
        <f t="array" ref="G15">IF(C15=0,50,100-((TIMEVALUE(SUBSTITUTE(F15,".",":"))-MIN(IF($C$3:$C$35&gt;0,TIMEVALUE(SUBSTITUTE($F$3:$F$35,".",":")))))/(MAX(IF($C$3:$C$35&gt;0,TIMEVALUE(SUBSTITUTE($F$3:$F$35,".",":"))))-MIN(IF($C$3:$C$35&gt;0,TIMEVALUE(SUBSTITUTE($F$3:$F$35,".",":"))))))*100)</f>
        <v>74.149659863945573</v>
      </c>
      <c r="H15" s="184">
        <f t="shared" si="0"/>
        <v>3.7074829931972788</v>
      </c>
    </row>
    <row r="16" spans="1:8" ht="18" customHeight="1">
      <c r="A16" s="106">
        <v>14</v>
      </c>
      <c r="B16" s="124" t="s">
        <v>161</v>
      </c>
      <c r="C16" s="75">
        <v>5</v>
      </c>
      <c r="D16" s="75">
        <v>5</v>
      </c>
      <c r="E16" s="75">
        <v>0</v>
      </c>
      <c r="F16" s="98" t="s">
        <v>205</v>
      </c>
      <c r="G16" s="184" cm="1">
        <f t="array" ref="G16">IF(C16=0,50,100-((TIMEVALUE(SUBSTITUTE(F16,".",":"))-MIN(IF($C$3:$C$35&gt;0,TIMEVALUE(SUBSTITUTE($F$3:$F$35,".",":")))))/(MAX(IF($C$3:$C$35&gt;0,TIMEVALUE(SUBSTITUTE($F$3:$F$35,".",":"))))-MIN(IF($C$3:$C$35&gt;0,TIMEVALUE(SUBSTITUTE($F$3:$F$35,".",":"))))))*100)</f>
        <v>51.247165532879812</v>
      </c>
      <c r="H16" s="184">
        <f t="shared" si="0"/>
        <v>2.562358276643991</v>
      </c>
    </row>
    <row r="17" spans="1:8" ht="18" customHeight="1">
      <c r="A17" s="106">
        <v>15</v>
      </c>
      <c r="B17" s="124" t="s">
        <v>162</v>
      </c>
      <c r="C17" s="75">
        <v>2</v>
      </c>
      <c r="D17" s="75">
        <v>2</v>
      </c>
      <c r="E17" s="75">
        <v>0</v>
      </c>
      <c r="F17" s="98" t="s">
        <v>206</v>
      </c>
      <c r="G17" s="184" cm="1">
        <f t="array" ref="G17">IF(C17=0,50,100-((TIMEVALUE(SUBSTITUTE(F17,".",":"))-MIN(IF($C$3:$C$35&gt;0,TIMEVALUE(SUBSTITUTE($F$3:$F$35,".",":")))))/(MAX(IF($C$3:$C$35&gt;0,TIMEVALUE(SUBSTITUTE($F$3:$F$35,".",":"))))-MIN(IF($C$3:$C$35&gt;0,TIMEVALUE(SUBSTITUTE($F$3:$F$35,".",":"))))))*100)</f>
        <v>100</v>
      </c>
      <c r="H17" s="184">
        <f t="shared" si="0"/>
        <v>5</v>
      </c>
    </row>
    <row r="18" spans="1:8" ht="18" customHeight="1">
      <c r="A18" s="106">
        <v>16</v>
      </c>
      <c r="B18" s="124" t="s">
        <v>163</v>
      </c>
      <c r="C18" s="75">
        <v>0</v>
      </c>
      <c r="D18" s="75">
        <v>0</v>
      </c>
      <c r="E18" s="75">
        <v>0</v>
      </c>
      <c r="F18" s="98" t="s">
        <v>196</v>
      </c>
      <c r="G18" s="184" cm="1">
        <f t="array" ref="G18">IF(C18=0,50,100-((TIMEVALUE(SUBSTITUTE(F18,".",":"))-MIN(IF($C$3:$C$35&gt;0,TIMEVALUE(SUBSTITUTE($F$3:$F$35,".",":")))))/(MAX(IF($C$3:$C$35&gt;0,TIMEVALUE(SUBSTITUTE($F$3:$F$35,".",":"))))-MIN(IF($C$3:$C$35&gt;0,TIMEVALUE(SUBSTITUTE($F$3:$F$35,".",":"))))))*100)</f>
        <v>50</v>
      </c>
      <c r="H18" s="184">
        <f t="shared" si="0"/>
        <v>2.5</v>
      </c>
    </row>
    <row r="19" spans="1:8" ht="18" customHeight="1">
      <c r="A19" s="106">
        <v>17</v>
      </c>
      <c r="B19" s="124" t="s">
        <v>164</v>
      </c>
      <c r="C19" s="75">
        <v>4</v>
      </c>
      <c r="D19" s="75">
        <v>4</v>
      </c>
      <c r="E19" s="75">
        <v>0</v>
      </c>
      <c r="F19" s="98" t="s">
        <v>207</v>
      </c>
      <c r="G19" s="184" cm="1">
        <f t="array" ref="G19">IF(C19=0,50,100-((TIMEVALUE(SUBSTITUTE(F19,".",":"))-MIN(IF($C$3:$C$35&gt;0,TIMEVALUE(SUBSTITUTE($F$3:$F$35,".",":")))))/(MAX(IF($C$3:$C$35&gt;0,TIMEVALUE(SUBSTITUTE($F$3:$F$35,".",":"))))-MIN(IF($C$3:$C$35&gt;0,TIMEVALUE(SUBSTITUTE($F$3:$F$35,".",":"))))))*100)</f>
        <v>68.934240362811792</v>
      </c>
      <c r="H19" s="184">
        <f t="shared" si="0"/>
        <v>3.4467120181405897</v>
      </c>
    </row>
    <row r="20" spans="1:8" ht="18" customHeight="1">
      <c r="A20" s="106">
        <v>18</v>
      </c>
      <c r="B20" s="124" t="s">
        <v>165</v>
      </c>
      <c r="C20" s="75">
        <v>7</v>
      </c>
      <c r="D20" s="75">
        <v>7</v>
      </c>
      <c r="E20" s="75">
        <v>0</v>
      </c>
      <c r="F20" s="98" t="s">
        <v>208</v>
      </c>
      <c r="G20" s="184" cm="1">
        <f t="array" ref="G20">IF(C20=0,50,100-((TIMEVALUE(SUBSTITUTE(F20,".",":"))-MIN(IF($C$3:$C$35&gt;0,TIMEVALUE(SUBSTITUTE($F$3:$F$35,".",":")))))/(MAX(IF($C$3:$C$35&gt;0,TIMEVALUE(SUBSTITUTE($F$3:$F$35,".",":"))))-MIN(IF($C$3:$C$35&gt;0,TIMEVALUE(SUBSTITUTE($F$3:$F$35,".",":"))))))*100)</f>
        <v>77.32426303854875</v>
      </c>
      <c r="H20" s="184">
        <f t="shared" si="0"/>
        <v>3.8662131519274379</v>
      </c>
    </row>
    <row r="21" spans="1:8" ht="18" customHeight="1">
      <c r="A21" s="106">
        <v>19</v>
      </c>
      <c r="B21" s="124" t="s">
        <v>166</v>
      </c>
      <c r="C21" s="75">
        <v>9</v>
      </c>
      <c r="D21" s="75">
        <v>9</v>
      </c>
      <c r="E21" s="75">
        <v>0</v>
      </c>
      <c r="F21" s="98" t="s">
        <v>209</v>
      </c>
      <c r="G21" s="184" cm="1">
        <f t="array" ref="G21">IF(C21=0,50,100-((TIMEVALUE(SUBSTITUTE(F21,".",":"))-MIN(IF($C$3:$C$35&gt;0,TIMEVALUE(SUBSTITUTE($F$3:$F$35,".",":")))))/(MAX(IF($C$3:$C$35&gt;0,TIMEVALUE(SUBSTITUTE($F$3:$F$35,".",":"))))-MIN(IF($C$3:$C$35&gt;0,TIMEVALUE(SUBSTITUTE($F$3:$F$35,".",":"))))))*100)</f>
        <v>91.383219954648524</v>
      </c>
      <c r="H21" s="184">
        <f t="shared" si="0"/>
        <v>4.5691609977324266</v>
      </c>
    </row>
    <row r="22" spans="1:8" ht="18" customHeight="1">
      <c r="A22" s="106">
        <v>20</v>
      </c>
      <c r="B22" s="124" t="s">
        <v>167</v>
      </c>
      <c r="C22" s="75">
        <v>3</v>
      </c>
      <c r="D22" s="75">
        <v>3</v>
      </c>
      <c r="E22" s="75">
        <v>0</v>
      </c>
      <c r="F22" s="98" t="s">
        <v>210</v>
      </c>
      <c r="G22" s="184" cm="1">
        <f t="array" ref="G22">IF(C22=0,50,100-((TIMEVALUE(SUBSTITUTE(F22,".",":"))-MIN(IF($C$3:$C$35&gt;0,TIMEVALUE(SUBSTITUTE($F$3:$F$35,".",":")))))/(MAX(IF($C$3:$C$35&gt;0,TIMEVALUE(SUBSTITUTE($F$3:$F$35,".",":"))))-MIN(IF($C$3:$C$35&gt;0,TIMEVALUE(SUBSTITUTE($F$3:$F$35,".",":"))))))*100)</f>
        <v>92.063492063492063</v>
      </c>
      <c r="H22" s="184">
        <f t="shared" si="0"/>
        <v>4.6031746031746037</v>
      </c>
    </row>
    <row r="23" spans="1:8" ht="18" customHeight="1">
      <c r="A23" s="106">
        <v>21</v>
      </c>
      <c r="B23" s="124" t="s">
        <v>168</v>
      </c>
      <c r="C23" s="75">
        <v>15</v>
      </c>
      <c r="D23" s="75">
        <v>15</v>
      </c>
      <c r="E23" s="75">
        <v>0</v>
      </c>
      <c r="F23" s="98" t="s">
        <v>211</v>
      </c>
      <c r="G23" s="184" cm="1">
        <f t="array" ref="G23">IF(C23=0,50,100-((TIMEVALUE(SUBSTITUTE(F23,".",":"))-MIN(IF($C$3:$C$35&gt;0,TIMEVALUE(SUBSTITUTE($F$3:$F$35,".",":")))))/(MAX(IF($C$3:$C$35&gt;0,TIMEVALUE(SUBSTITUTE($F$3:$F$35,".",":"))))-MIN(IF($C$3:$C$35&gt;0,TIMEVALUE(SUBSTITUTE($F$3:$F$35,".",":"))))))*100)</f>
        <v>69.841269841269849</v>
      </c>
      <c r="H23" s="184">
        <f t="shared" si="0"/>
        <v>3.4920634920634925</v>
      </c>
    </row>
    <row r="24" spans="1:8" ht="18" customHeight="1">
      <c r="A24" s="106">
        <v>22</v>
      </c>
      <c r="B24" s="124" t="s">
        <v>169</v>
      </c>
      <c r="C24" s="75">
        <v>6</v>
      </c>
      <c r="D24" s="75">
        <v>6</v>
      </c>
      <c r="E24" s="75">
        <v>0</v>
      </c>
      <c r="F24" s="98" t="s">
        <v>212</v>
      </c>
      <c r="G24" s="184" cm="1">
        <f t="array" ref="G24">IF(C24=0,50,100-((TIMEVALUE(SUBSTITUTE(F24,".",":"))-MIN(IF($C$3:$C$35&gt;0,TIMEVALUE(SUBSTITUTE($F$3:$F$35,".",":")))))/(MAX(IF($C$3:$C$35&gt;0,TIMEVALUE(SUBSTITUTE($F$3:$F$35,".",":"))))-MIN(IF($C$3:$C$35&gt;0,TIMEVALUE(SUBSTITUTE($F$3:$F$35,".",":"))))))*100)</f>
        <v>55.55555555555555</v>
      </c>
      <c r="H24" s="184">
        <f t="shared" si="0"/>
        <v>2.7777777777777777</v>
      </c>
    </row>
    <row r="25" spans="1:8" ht="18" customHeight="1">
      <c r="A25" s="106">
        <v>23</v>
      </c>
      <c r="B25" s="124" t="s">
        <v>170</v>
      </c>
      <c r="C25" s="75">
        <v>18</v>
      </c>
      <c r="D25" s="75">
        <v>18</v>
      </c>
      <c r="E25" s="75">
        <v>0</v>
      </c>
      <c r="F25" s="98" t="s">
        <v>213</v>
      </c>
      <c r="G25" s="184" cm="1">
        <f t="array" ref="G25">IF(C25=0,50,100-((TIMEVALUE(SUBSTITUTE(F25,".",":"))-MIN(IF($C$3:$C$35&gt;0,TIMEVALUE(SUBSTITUTE($F$3:$F$35,".",":")))))/(MAX(IF($C$3:$C$35&gt;0,TIMEVALUE(SUBSTITUTE($F$3:$F$35,".",":"))))-MIN(IF($C$3:$C$35&gt;0,TIMEVALUE(SUBSTITUTE($F$3:$F$35,".",":"))))))*100)</f>
        <v>34.467120181405903</v>
      </c>
      <c r="H25" s="184">
        <f t="shared" si="0"/>
        <v>1.7233560090702953</v>
      </c>
    </row>
    <row r="26" spans="1:8" ht="18" customHeight="1">
      <c r="A26" s="106">
        <v>24</v>
      </c>
      <c r="B26" s="124" t="s">
        <v>171</v>
      </c>
      <c r="C26" s="75">
        <v>22</v>
      </c>
      <c r="D26" s="75">
        <v>22</v>
      </c>
      <c r="E26" s="75">
        <v>0</v>
      </c>
      <c r="F26" s="98" t="s">
        <v>214</v>
      </c>
      <c r="G26" s="184" cm="1">
        <f t="array" ref="G26">IF(C26=0,50,100-((TIMEVALUE(SUBSTITUTE(F26,".",":"))-MIN(IF($C$3:$C$35&gt;0,TIMEVALUE(SUBSTITUTE($F$3:$F$35,".",":")))))/(MAX(IF($C$3:$C$35&gt;0,TIMEVALUE(SUBSTITUTE($F$3:$F$35,".",":"))))-MIN(IF($C$3:$C$35&gt;0,TIMEVALUE(SUBSTITUTE($F$3:$F$35,".",":"))))))*100)</f>
        <v>78.458049886621311</v>
      </c>
      <c r="H26" s="184">
        <f t="shared" si="0"/>
        <v>3.9229024943310655</v>
      </c>
    </row>
    <row r="27" spans="1:8" ht="18" customHeight="1">
      <c r="A27" s="106">
        <v>25</v>
      </c>
      <c r="B27" s="124" t="s">
        <v>172</v>
      </c>
      <c r="C27" s="75">
        <v>3</v>
      </c>
      <c r="D27" s="75">
        <v>3</v>
      </c>
      <c r="E27" s="75">
        <v>0</v>
      </c>
      <c r="F27" s="98" t="s">
        <v>215</v>
      </c>
      <c r="G27" s="184" cm="1">
        <f t="array" ref="G27">IF(C27=0,50,100-((TIMEVALUE(SUBSTITUTE(F27,".",":"))-MIN(IF($C$3:$C$35&gt;0,TIMEVALUE(SUBSTITUTE($F$3:$F$35,".",":")))))/(MAX(IF($C$3:$C$35&gt;0,TIMEVALUE(SUBSTITUTE($F$3:$F$35,".",":"))))-MIN(IF($C$3:$C$35&gt;0,TIMEVALUE(SUBSTITUTE($F$3:$F$35,".",":"))))))*100)</f>
        <v>54.648526077097507</v>
      </c>
      <c r="H27" s="184">
        <f t="shared" si="0"/>
        <v>2.7324263038548757</v>
      </c>
    </row>
    <row r="28" spans="1:8" ht="18" customHeight="1">
      <c r="A28" s="106">
        <v>26</v>
      </c>
      <c r="B28" s="124" t="s">
        <v>173</v>
      </c>
      <c r="C28" s="75">
        <v>2</v>
      </c>
      <c r="D28" s="75">
        <v>2</v>
      </c>
      <c r="E28" s="75">
        <v>0</v>
      </c>
      <c r="F28" s="98" t="s">
        <v>216</v>
      </c>
      <c r="G28" s="184" cm="1">
        <f t="array" ref="G28">IF(C28=0,50,100-((TIMEVALUE(SUBSTITUTE(F28,".",":"))-MIN(IF($C$3:$C$35&gt;0,TIMEVALUE(SUBSTITUTE($F$3:$F$35,".",":")))))/(MAX(IF($C$3:$C$35&gt;0,TIMEVALUE(SUBSTITUTE($F$3:$F$35,".",":"))))-MIN(IF($C$3:$C$35&gt;0,TIMEVALUE(SUBSTITUTE($F$3:$F$35,".",":"))))))*100)</f>
        <v>63.945578231292515</v>
      </c>
      <c r="H28" s="184">
        <f t="shared" si="0"/>
        <v>3.1972789115646258</v>
      </c>
    </row>
    <row r="29" spans="1:8" ht="18" customHeight="1">
      <c r="A29" s="106">
        <v>27</v>
      </c>
      <c r="B29" s="124" t="s">
        <v>174</v>
      </c>
      <c r="C29" s="75">
        <v>4</v>
      </c>
      <c r="D29" s="75">
        <v>4</v>
      </c>
      <c r="E29" s="75">
        <v>0</v>
      </c>
      <c r="F29" s="98" t="s">
        <v>217</v>
      </c>
      <c r="G29" s="184" cm="1">
        <f t="array" ref="G29">IF(C29=0,50,100-((TIMEVALUE(SUBSTITUTE(F29,".",":"))-MIN(IF($C$3:$C$35&gt;0,TIMEVALUE(SUBSTITUTE($F$3:$F$35,".",":")))))/(MAX(IF($C$3:$C$35&gt;0,TIMEVALUE(SUBSTITUTE($F$3:$F$35,".",":"))))-MIN(IF($C$3:$C$35&gt;0,TIMEVALUE(SUBSTITUTE($F$3:$F$35,".",":"))))))*100)</f>
        <v>61.904761904761898</v>
      </c>
      <c r="H29" s="184">
        <f t="shared" si="0"/>
        <v>3.0952380952380949</v>
      </c>
    </row>
    <row r="30" spans="1:8" ht="18" customHeight="1">
      <c r="A30" s="106">
        <v>28</v>
      </c>
      <c r="B30" s="124" t="s">
        <v>175</v>
      </c>
      <c r="C30" s="75">
        <v>2</v>
      </c>
      <c r="D30" s="75">
        <v>2</v>
      </c>
      <c r="E30" s="75">
        <v>0</v>
      </c>
      <c r="F30" s="98" t="s">
        <v>218</v>
      </c>
      <c r="G30" s="184" cm="1">
        <f t="array" ref="G30">IF(C30=0,50,100-((TIMEVALUE(SUBSTITUTE(F30,".",":"))-MIN(IF($C$3:$C$35&gt;0,TIMEVALUE(SUBSTITUTE($F$3:$F$35,".",":")))))/(MAX(IF($C$3:$C$35&gt;0,TIMEVALUE(SUBSTITUTE($F$3:$F$35,".",":"))))-MIN(IF($C$3:$C$35&gt;0,TIMEVALUE(SUBSTITUTE($F$3:$F$35,".",":"))))))*100)</f>
        <v>64.399092970521536</v>
      </c>
      <c r="H30" s="184">
        <f t="shared" si="0"/>
        <v>3.2199546485260768</v>
      </c>
    </row>
    <row r="31" spans="1:8" ht="18" customHeight="1">
      <c r="A31" s="106">
        <v>29</v>
      </c>
      <c r="B31" s="124" t="s">
        <v>176</v>
      </c>
      <c r="C31" s="75">
        <v>15</v>
      </c>
      <c r="D31" s="75">
        <v>15</v>
      </c>
      <c r="E31" s="75">
        <v>0</v>
      </c>
      <c r="F31" s="98" t="s">
        <v>219</v>
      </c>
      <c r="G31" s="184" cm="1">
        <f t="array" ref="G31">IF(C31=0,50,100-((TIMEVALUE(SUBSTITUTE(F31,".",":"))-MIN(IF($C$3:$C$35&gt;0,TIMEVALUE(SUBSTITUTE($F$3:$F$35,".",":")))))/(MAX(IF($C$3:$C$35&gt;0,TIMEVALUE(SUBSTITUTE($F$3:$F$35,".",":"))))-MIN(IF($C$3:$C$35&gt;0,TIMEVALUE(SUBSTITUTE($F$3:$F$35,".",":"))))))*100)</f>
        <v>69.16099773242631</v>
      </c>
      <c r="H31" s="184">
        <f t="shared" si="0"/>
        <v>3.4580498866213158</v>
      </c>
    </row>
    <row r="32" spans="1:8" ht="18" customHeight="1">
      <c r="A32" s="106">
        <v>30</v>
      </c>
      <c r="B32" s="124" t="s">
        <v>177</v>
      </c>
      <c r="C32" s="75">
        <v>6</v>
      </c>
      <c r="D32" s="75">
        <v>6</v>
      </c>
      <c r="E32" s="75">
        <v>0</v>
      </c>
      <c r="F32" s="98" t="s">
        <v>220</v>
      </c>
      <c r="G32" s="184" cm="1">
        <f t="array" ref="G32">IF(C32=0,50,100-((TIMEVALUE(SUBSTITUTE(F32,".",":"))-MIN(IF($C$3:$C$35&gt;0,TIMEVALUE(SUBSTITUTE($F$3:$F$35,".",":")))))/(MAX(IF($C$3:$C$35&gt;0,TIMEVALUE(SUBSTITUTE($F$3:$F$35,".",":"))))-MIN(IF($C$3:$C$35&gt;0,TIMEVALUE(SUBSTITUTE($F$3:$F$35,".",":"))))))*100)</f>
        <v>0</v>
      </c>
      <c r="H32" s="184">
        <f t="shared" si="0"/>
        <v>0</v>
      </c>
    </row>
    <row r="33" spans="1:8" ht="18" customHeight="1">
      <c r="A33" s="106">
        <v>31</v>
      </c>
      <c r="B33" s="124" t="s">
        <v>178</v>
      </c>
      <c r="C33" s="75">
        <v>5</v>
      </c>
      <c r="D33" s="75">
        <v>5</v>
      </c>
      <c r="E33" s="75">
        <v>0</v>
      </c>
      <c r="F33" s="98" t="s">
        <v>221</v>
      </c>
      <c r="G33" s="184" cm="1">
        <f t="array" ref="G33">IF(C33=0,50,100-((TIMEVALUE(SUBSTITUTE(F33,".",":"))-MIN(IF($C$3:$C$35&gt;0,TIMEVALUE(SUBSTITUTE($F$3:$F$35,".",":")))))/(MAX(IF($C$3:$C$35&gt;0,TIMEVALUE(SUBSTITUTE($F$3:$F$35,".",":"))))-MIN(IF($C$3:$C$35&gt;0,TIMEVALUE(SUBSTITUTE($F$3:$F$35,".",":"))))))*100)</f>
        <v>53.51473922902494</v>
      </c>
      <c r="H33" s="184">
        <f t="shared" si="0"/>
        <v>2.6757369614512472</v>
      </c>
    </row>
    <row r="34" spans="1:8" ht="18" customHeight="1">
      <c r="A34" s="106">
        <v>32</v>
      </c>
      <c r="B34" s="124" t="s">
        <v>179</v>
      </c>
      <c r="C34" s="75">
        <v>5</v>
      </c>
      <c r="D34" s="75">
        <v>5</v>
      </c>
      <c r="E34" s="75">
        <v>0</v>
      </c>
      <c r="F34" s="98" t="s">
        <v>198</v>
      </c>
      <c r="G34" s="184" cm="1">
        <f t="array" ref="G34">IF(C34=0,50,100-((TIMEVALUE(SUBSTITUTE(F34,".",":"))-MIN(IF($C$3:$C$35&gt;0,TIMEVALUE(SUBSTITUTE($F$3:$F$35,".",":")))))/(MAX(IF($C$3:$C$35&gt;0,TIMEVALUE(SUBSTITUTE($F$3:$F$35,".",":"))))-MIN(IF($C$3:$C$35&gt;0,TIMEVALUE(SUBSTITUTE($F$3:$F$35,".",":"))))))*100)</f>
        <v>74.829931972789112</v>
      </c>
      <c r="H34" s="184">
        <f t="shared" si="0"/>
        <v>3.7414965986394559</v>
      </c>
    </row>
    <row r="35" spans="1:8" ht="18" customHeight="1">
      <c r="A35" s="106">
        <v>33</v>
      </c>
      <c r="B35" s="124" t="s">
        <v>180</v>
      </c>
      <c r="C35" s="75">
        <v>0</v>
      </c>
      <c r="D35" s="75">
        <v>0</v>
      </c>
      <c r="E35" s="75">
        <v>0</v>
      </c>
      <c r="F35" s="98">
        <v>0</v>
      </c>
      <c r="G35" s="184" cm="1">
        <f t="array" ref="G35">IF(C35=0,50,100-((TIMEVALUE(SUBSTITUTE(F35,".",":"))-MIN(IF($C$3:$C$35&gt;0,TIMEVALUE(SUBSTITUTE($F$3:$F$35,".",":")))))/(MAX(IF($C$3:$C$35&gt;0,TIMEVALUE(SUBSTITUTE($F$3:$F$35,".",":"))))-MIN(IF($C$3:$C$35&gt;0,TIMEVALUE(SUBSTITUTE($F$3:$F$35,".",":"))))))*100)</f>
        <v>50</v>
      </c>
      <c r="H35" s="184">
        <f t="shared" si="0"/>
        <v>2.5</v>
      </c>
    </row>
    <row r="36" spans="1:8" ht="20.100000000000001" hidden="1" customHeight="1">
      <c r="A36" s="240" t="s">
        <v>137</v>
      </c>
      <c r="B36" s="241"/>
      <c r="C36" s="111">
        <v>278</v>
      </c>
      <c r="D36" s="111">
        <v>278</v>
      </c>
      <c r="E36" s="111">
        <v>0</v>
      </c>
      <c r="F36" s="112">
        <v>4.3828295206971681E-3</v>
      </c>
      <c r="G36" s="97" t="e">
        <f t="shared" ref="G36" si="1">IF(C36=0,50,100-((F36-_xlfn.MINIFS($F$3:$F$35,$C$3:$C$35,"&gt;0"))/(_xlfn.MAXIFS($F$3:$F$35,$C$3:$C$35,"&gt;0")-_xlfn.MINIFS($F$3:$F$35,$C$3:$C$35,"&gt;0"))*100))</f>
        <v>#DIV/0!</v>
      </c>
      <c r="H36" s="113">
        <v>3.4914422571411872</v>
      </c>
    </row>
  </sheetData>
  <mergeCells count="2">
    <mergeCell ref="A1:H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7" fitToHeight="0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FF4E-C356-498F-ADFD-E181F9D7593B}">
  <sheetPr codeName="Sheet42">
    <tabColor rgb="FF00B0F0"/>
    <pageSetUpPr fitToPage="1"/>
  </sheetPr>
  <dimension ref="A1:R38"/>
  <sheetViews>
    <sheetView workbookViewId="0">
      <pane ySplit="3" topLeftCell="A4" activePane="bottomLeft" state="frozen"/>
      <selection pane="bottomLeft" activeCell="N31" sqref="N31"/>
    </sheetView>
  </sheetViews>
  <sheetFormatPr defaultRowHeight="14.4"/>
  <cols>
    <col min="1" max="1" width="5.5546875" bestFit="1" customWidth="1"/>
    <col min="2" max="2" width="19.109375" bestFit="1" customWidth="1"/>
    <col min="3" max="5" width="8.77734375" customWidth="1"/>
  </cols>
  <sheetData>
    <row r="1" spans="1:18" ht="18">
      <c r="A1" s="244" t="s">
        <v>145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</row>
    <row r="2" spans="1:18" ht="21.6" customHeight="1">
      <c r="A2" s="242" t="s">
        <v>0</v>
      </c>
      <c r="B2" s="242" t="s">
        <v>24</v>
      </c>
      <c r="C2" s="246">
        <f ca="1">TODAY()-WEEKDAY(TODAY(),2)-4</f>
        <v>46274</v>
      </c>
      <c r="D2" s="246"/>
      <c r="E2" s="246">
        <f ca="1">TODAY()-WEEKDAY(TODAY(),2)-4</f>
        <v>46274</v>
      </c>
      <c r="F2" s="246"/>
      <c r="G2" s="246">
        <f>$D$2+2</f>
        <v>2</v>
      </c>
      <c r="H2" s="246"/>
      <c r="I2" s="246">
        <f>$D$2+3</f>
        <v>3</v>
      </c>
      <c r="J2" s="246"/>
      <c r="K2" s="246">
        <f>$D$2+4</f>
        <v>4</v>
      </c>
      <c r="L2" s="246"/>
      <c r="M2" s="246">
        <f>$D$2+5</f>
        <v>5</v>
      </c>
      <c r="N2" s="246"/>
      <c r="O2" s="246">
        <f>$D$2+6</f>
        <v>6</v>
      </c>
      <c r="P2" s="246"/>
      <c r="Q2" s="242" t="s">
        <v>36</v>
      </c>
      <c r="R2" s="243" t="s">
        <v>144</v>
      </c>
    </row>
    <row r="3" spans="1:18" ht="28.65" customHeight="1">
      <c r="A3" s="242"/>
      <c r="B3" s="242"/>
      <c r="C3" s="144" t="s">
        <v>253</v>
      </c>
      <c r="D3" s="144" t="s">
        <v>254</v>
      </c>
      <c r="E3" s="144" t="s">
        <v>253</v>
      </c>
      <c r="F3" s="144" t="s">
        <v>254</v>
      </c>
      <c r="G3" s="144" t="s">
        <v>253</v>
      </c>
      <c r="H3" s="144" t="s">
        <v>254</v>
      </c>
      <c r="I3" s="144" t="s">
        <v>253</v>
      </c>
      <c r="J3" s="144" t="s">
        <v>254</v>
      </c>
      <c r="K3" s="144" t="s">
        <v>253</v>
      </c>
      <c r="L3" s="144" t="s">
        <v>254</v>
      </c>
      <c r="M3" s="144" t="s">
        <v>253</v>
      </c>
      <c r="N3" s="144" t="s">
        <v>254</v>
      </c>
      <c r="O3" s="144" t="s">
        <v>253</v>
      </c>
      <c r="P3" s="144" t="s">
        <v>254</v>
      </c>
      <c r="Q3" s="242"/>
      <c r="R3" s="243"/>
    </row>
    <row r="4" spans="1:18" ht="26.1" customHeight="1">
      <c r="A4" s="16">
        <v>1</v>
      </c>
      <c r="B4" s="124" t="s">
        <v>148</v>
      </c>
      <c r="C4" s="192">
        <v>1</v>
      </c>
      <c r="D4" s="192"/>
      <c r="E4" s="192"/>
      <c r="F4" s="192">
        <v>1</v>
      </c>
      <c r="G4" s="192"/>
      <c r="H4" s="192">
        <v>1</v>
      </c>
      <c r="I4" s="192">
        <v>1</v>
      </c>
      <c r="J4" s="192">
        <v>2</v>
      </c>
      <c r="K4" s="192"/>
      <c r="L4" s="192"/>
      <c r="M4" s="192"/>
      <c r="N4" s="192"/>
      <c r="O4" s="192">
        <v>1</v>
      </c>
      <c r="P4" s="192"/>
      <c r="Q4" s="114" cm="1">
        <f t="array" ref="Q4">SUMPRODUCT(--(C4:P4&gt;=1))*2.5/7</f>
        <v>2.1428571428571428</v>
      </c>
      <c r="R4" s="33">
        <f t="shared" ref="R4:R37" si="0">Q4/5*100</f>
        <v>42.857142857142854</v>
      </c>
    </row>
    <row r="5" spans="1:18" ht="26.1" customHeight="1">
      <c r="A5" s="16">
        <v>2</v>
      </c>
      <c r="B5" s="124" t="s">
        <v>149</v>
      </c>
      <c r="C5" s="192">
        <v>1</v>
      </c>
      <c r="D5" s="192"/>
      <c r="E5" s="192">
        <v>1</v>
      </c>
      <c r="F5" s="192">
        <v>1</v>
      </c>
      <c r="G5" s="192">
        <v>1</v>
      </c>
      <c r="H5" s="192"/>
      <c r="I5" s="192">
        <v>1</v>
      </c>
      <c r="J5" s="192">
        <v>1</v>
      </c>
      <c r="K5" s="192">
        <v>1</v>
      </c>
      <c r="L5" s="192"/>
      <c r="M5" s="192">
        <v>1</v>
      </c>
      <c r="N5" s="192">
        <v>1</v>
      </c>
      <c r="O5" s="192">
        <v>2</v>
      </c>
      <c r="P5" s="192"/>
      <c r="Q5" s="114" cm="1">
        <f t="array" ref="Q5">SUMPRODUCT(--(C5:P5&gt;=1))*2.5/7</f>
        <v>3.5714285714285716</v>
      </c>
      <c r="R5" s="33">
        <f t="shared" si="0"/>
        <v>71.428571428571431</v>
      </c>
    </row>
    <row r="6" spans="1:18" ht="26.1" customHeight="1">
      <c r="A6" s="16">
        <v>3</v>
      </c>
      <c r="B6" s="124" t="s">
        <v>150</v>
      </c>
      <c r="C6" s="192">
        <v>4</v>
      </c>
      <c r="D6" s="192">
        <v>2</v>
      </c>
      <c r="E6" s="192">
        <v>2</v>
      </c>
      <c r="F6" s="192">
        <v>1</v>
      </c>
      <c r="G6" s="192">
        <v>2</v>
      </c>
      <c r="H6" s="192">
        <v>2</v>
      </c>
      <c r="I6" s="192">
        <v>3</v>
      </c>
      <c r="J6" s="192">
        <v>2</v>
      </c>
      <c r="K6" s="192">
        <v>1</v>
      </c>
      <c r="L6" s="192">
        <v>2</v>
      </c>
      <c r="M6" s="192">
        <v>2</v>
      </c>
      <c r="N6" s="192"/>
      <c r="O6" s="192">
        <v>3</v>
      </c>
      <c r="P6" s="192"/>
      <c r="Q6" s="114" cm="1">
        <f t="array" ref="Q6">SUMPRODUCT(--(C6:P6&gt;=1))*2.5/7</f>
        <v>4.2857142857142856</v>
      </c>
      <c r="R6" s="33">
        <f t="shared" si="0"/>
        <v>85.714285714285708</v>
      </c>
    </row>
    <row r="7" spans="1:18" ht="26.1" customHeight="1">
      <c r="A7" s="16">
        <v>4</v>
      </c>
      <c r="B7" s="124" t="s">
        <v>151</v>
      </c>
      <c r="C7" s="192">
        <v>1</v>
      </c>
      <c r="D7" s="192"/>
      <c r="E7" s="192">
        <v>1</v>
      </c>
      <c r="F7" s="192"/>
      <c r="G7" s="192">
        <v>1</v>
      </c>
      <c r="H7" s="192">
        <v>2</v>
      </c>
      <c r="I7" s="192"/>
      <c r="J7" s="192"/>
      <c r="K7" s="192">
        <v>1</v>
      </c>
      <c r="L7" s="192">
        <v>2</v>
      </c>
      <c r="M7" s="192">
        <v>1</v>
      </c>
      <c r="N7" s="192"/>
      <c r="O7" s="192"/>
      <c r="P7" s="192"/>
      <c r="Q7" s="114" cm="1">
        <f t="array" ref="Q7">SUMPRODUCT(--(C7:P7&gt;=1))*2.5/7</f>
        <v>2.5</v>
      </c>
      <c r="R7" s="33">
        <f t="shared" si="0"/>
        <v>50</v>
      </c>
    </row>
    <row r="8" spans="1:18" ht="26.1" customHeight="1">
      <c r="A8" s="16">
        <v>5</v>
      </c>
      <c r="B8" s="124" t="s">
        <v>152</v>
      </c>
      <c r="C8" s="192">
        <v>1</v>
      </c>
      <c r="D8" s="192"/>
      <c r="E8" s="192">
        <v>1</v>
      </c>
      <c r="F8" s="192"/>
      <c r="G8" s="192">
        <v>1</v>
      </c>
      <c r="H8" s="192"/>
      <c r="I8" s="192">
        <v>1</v>
      </c>
      <c r="J8" s="192">
        <v>1</v>
      </c>
      <c r="K8" s="192"/>
      <c r="L8" s="192">
        <v>1</v>
      </c>
      <c r="M8" s="192"/>
      <c r="N8" s="192"/>
      <c r="O8" s="192">
        <v>2</v>
      </c>
      <c r="P8" s="192"/>
      <c r="Q8" s="114" cm="1">
        <f t="array" ref="Q8">SUMPRODUCT(--(C8:P8&gt;=1))*2.5/7</f>
        <v>2.5</v>
      </c>
      <c r="R8" s="33">
        <f t="shared" si="0"/>
        <v>50</v>
      </c>
    </row>
    <row r="9" spans="1:18" ht="26.1" customHeight="1">
      <c r="A9" s="16">
        <v>6</v>
      </c>
      <c r="B9" s="124" t="s">
        <v>153</v>
      </c>
      <c r="C9" s="192">
        <v>4</v>
      </c>
      <c r="D9" s="192"/>
      <c r="E9" s="192"/>
      <c r="F9" s="192">
        <v>2</v>
      </c>
      <c r="G9" s="192"/>
      <c r="H9" s="192"/>
      <c r="I9" s="192">
        <v>2</v>
      </c>
      <c r="J9" s="192"/>
      <c r="K9" s="192"/>
      <c r="L9" s="192">
        <v>1</v>
      </c>
      <c r="M9" s="192">
        <v>4</v>
      </c>
      <c r="N9" s="192"/>
      <c r="O9" s="192">
        <v>2</v>
      </c>
      <c r="P9" s="192"/>
      <c r="Q9" s="114" cm="1">
        <f t="array" ref="Q9">SUMPRODUCT(--(C9:P9&gt;=1))*2.5/7</f>
        <v>2.1428571428571428</v>
      </c>
      <c r="R9" s="33">
        <f t="shared" si="0"/>
        <v>42.857142857142854</v>
      </c>
    </row>
    <row r="10" spans="1:18" ht="26.1" customHeight="1">
      <c r="A10" s="16">
        <v>7</v>
      </c>
      <c r="B10" s="124" t="s">
        <v>154</v>
      </c>
      <c r="C10" s="192">
        <v>1</v>
      </c>
      <c r="D10" s="192"/>
      <c r="E10" s="192">
        <v>1</v>
      </c>
      <c r="F10" s="192"/>
      <c r="G10" s="192">
        <v>1</v>
      </c>
      <c r="H10" s="192"/>
      <c r="I10" s="192">
        <v>1</v>
      </c>
      <c r="J10" s="192"/>
      <c r="K10" s="192">
        <v>1</v>
      </c>
      <c r="L10" s="192"/>
      <c r="M10" s="192">
        <v>1</v>
      </c>
      <c r="N10" s="192">
        <v>1</v>
      </c>
      <c r="O10" s="192"/>
      <c r="P10" s="192"/>
      <c r="Q10" s="114" cm="1">
        <f t="array" ref="Q10">SUMPRODUCT(--(C10:P10&gt;=1))*2.5/7</f>
        <v>2.5</v>
      </c>
      <c r="R10" s="33">
        <f t="shared" si="0"/>
        <v>50</v>
      </c>
    </row>
    <row r="11" spans="1:18" ht="26.1" customHeight="1">
      <c r="A11" s="16">
        <v>8</v>
      </c>
      <c r="B11" s="124" t="s">
        <v>155</v>
      </c>
      <c r="C11" s="192">
        <v>1</v>
      </c>
      <c r="D11" s="192">
        <v>1</v>
      </c>
      <c r="E11" s="192"/>
      <c r="F11" s="192">
        <v>1</v>
      </c>
      <c r="G11" s="192"/>
      <c r="H11" s="192">
        <v>1</v>
      </c>
      <c r="I11" s="192"/>
      <c r="J11" s="192">
        <v>1</v>
      </c>
      <c r="K11" s="192"/>
      <c r="L11" s="192">
        <v>1</v>
      </c>
      <c r="M11" s="192">
        <v>1</v>
      </c>
      <c r="N11" s="192">
        <v>1</v>
      </c>
      <c r="O11" s="192">
        <v>1</v>
      </c>
      <c r="P11" s="192"/>
      <c r="Q11" s="114" cm="1">
        <f t="array" ref="Q11">SUMPRODUCT(--(C11:P11&gt;=1))*2.5/7</f>
        <v>3.2142857142857144</v>
      </c>
      <c r="R11" s="33">
        <f t="shared" si="0"/>
        <v>64.285714285714292</v>
      </c>
    </row>
    <row r="12" spans="1:18" ht="26.1" customHeight="1">
      <c r="A12" s="16">
        <v>9</v>
      </c>
      <c r="B12" s="124" t="s">
        <v>156</v>
      </c>
      <c r="C12" s="192">
        <v>1</v>
      </c>
      <c r="D12" s="192"/>
      <c r="E12" s="192">
        <v>1</v>
      </c>
      <c r="F12" s="192"/>
      <c r="G12" s="192">
        <v>1</v>
      </c>
      <c r="H12" s="192">
        <v>1</v>
      </c>
      <c r="I12" s="192"/>
      <c r="J12" s="192">
        <v>2</v>
      </c>
      <c r="K12" s="192"/>
      <c r="L12" s="192">
        <v>1</v>
      </c>
      <c r="M12" s="192"/>
      <c r="N12" s="192"/>
      <c r="O12" s="192">
        <v>1</v>
      </c>
      <c r="P12" s="192"/>
      <c r="Q12" s="114" cm="1">
        <f t="array" ref="Q12">SUMPRODUCT(--(C12:P12&gt;=1))*2.5/7</f>
        <v>2.5</v>
      </c>
      <c r="R12" s="33">
        <f t="shared" si="0"/>
        <v>50</v>
      </c>
    </row>
    <row r="13" spans="1:18" ht="26.1" customHeight="1">
      <c r="A13" s="16">
        <v>10</v>
      </c>
      <c r="B13" s="124" t="s">
        <v>157</v>
      </c>
      <c r="C13" s="192">
        <v>1</v>
      </c>
      <c r="D13" s="192"/>
      <c r="E13" s="192">
        <v>1</v>
      </c>
      <c r="F13" s="192">
        <v>2</v>
      </c>
      <c r="G13" s="192"/>
      <c r="H13" s="192">
        <v>1</v>
      </c>
      <c r="I13" s="192"/>
      <c r="J13" s="192">
        <v>1</v>
      </c>
      <c r="K13" s="192"/>
      <c r="L13" s="192">
        <v>1</v>
      </c>
      <c r="M13" s="192"/>
      <c r="N13" s="192">
        <v>1</v>
      </c>
      <c r="O13" s="192"/>
      <c r="P13" s="192"/>
      <c r="Q13" s="114" cm="1">
        <f t="array" ref="Q13">SUMPRODUCT(--(C13:P13&gt;=1))*2.5/7</f>
        <v>2.5</v>
      </c>
      <c r="R13" s="33">
        <f t="shared" si="0"/>
        <v>50</v>
      </c>
    </row>
    <row r="14" spans="1:18" ht="26.1" customHeight="1">
      <c r="A14" s="16">
        <v>11</v>
      </c>
      <c r="B14" s="124" t="s">
        <v>158</v>
      </c>
      <c r="C14" s="192">
        <v>1</v>
      </c>
      <c r="D14" s="192"/>
      <c r="E14" s="192"/>
      <c r="F14" s="192">
        <v>1</v>
      </c>
      <c r="G14" s="192">
        <v>1</v>
      </c>
      <c r="H14" s="192"/>
      <c r="I14" s="192">
        <v>1</v>
      </c>
      <c r="J14" s="192"/>
      <c r="K14" s="192">
        <v>1</v>
      </c>
      <c r="L14" s="192"/>
      <c r="M14" s="192">
        <v>1</v>
      </c>
      <c r="N14" s="192"/>
      <c r="O14" s="192"/>
      <c r="P14" s="192"/>
      <c r="Q14" s="114" cm="1">
        <f t="array" ref="Q14">SUMPRODUCT(--(C14:P14&gt;=1))*2.5/7</f>
        <v>2.1428571428571428</v>
      </c>
      <c r="R14" s="33">
        <f t="shared" si="0"/>
        <v>42.857142857142854</v>
      </c>
    </row>
    <row r="15" spans="1:18" ht="26.1" customHeight="1">
      <c r="A15" s="16">
        <v>12</v>
      </c>
      <c r="B15" s="124" t="s">
        <v>159</v>
      </c>
      <c r="C15" s="192">
        <v>1</v>
      </c>
      <c r="D15" s="192"/>
      <c r="E15" s="192">
        <v>1</v>
      </c>
      <c r="F15" s="192"/>
      <c r="G15" s="192">
        <v>1</v>
      </c>
      <c r="H15" s="192">
        <v>2</v>
      </c>
      <c r="I15" s="192">
        <v>1</v>
      </c>
      <c r="J15" s="192">
        <v>1</v>
      </c>
      <c r="K15" s="192"/>
      <c r="L15" s="192"/>
      <c r="M15" s="192"/>
      <c r="N15" s="192"/>
      <c r="O15" s="192"/>
      <c r="P15" s="192"/>
      <c r="Q15" s="114" cm="1">
        <f t="array" ref="Q15">SUMPRODUCT(--(C15:P15&gt;=1))*2.5/7</f>
        <v>2.1428571428571428</v>
      </c>
      <c r="R15" s="33">
        <f t="shared" si="0"/>
        <v>42.857142857142854</v>
      </c>
    </row>
    <row r="16" spans="1:18" ht="26.1" customHeight="1">
      <c r="A16" s="16">
        <v>13</v>
      </c>
      <c r="B16" s="124" t="s">
        <v>160</v>
      </c>
      <c r="C16" s="192">
        <v>1</v>
      </c>
      <c r="D16" s="192">
        <v>1</v>
      </c>
      <c r="E16" s="192"/>
      <c r="F16" s="192">
        <v>1</v>
      </c>
      <c r="G16" s="192">
        <v>2</v>
      </c>
      <c r="H16" s="192">
        <v>1</v>
      </c>
      <c r="I16" s="192">
        <v>1</v>
      </c>
      <c r="J16" s="192"/>
      <c r="K16" s="192"/>
      <c r="L16" s="192">
        <v>2</v>
      </c>
      <c r="M16" s="192"/>
      <c r="N16" s="192">
        <v>2</v>
      </c>
      <c r="O16" s="192">
        <v>1</v>
      </c>
      <c r="P16" s="192"/>
      <c r="Q16" s="114" cm="1">
        <f t="array" ref="Q16">SUMPRODUCT(--(C16:P16&gt;=1))*2.5/7</f>
        <v>3.2142857142857144</v>
      </c>
      <c r="R16" s="33">
        <f t="shared" si="0"/>
        <v>64.285714285714292</v>
      </c>
    </row>
    <row r="17" spans="1:18" ht="26.1" customHeight="1">
      <c r="A17" s="16">
        <v>14</v>
      </c>
      <c r="B17" s="124" t="s">
        <v>161</v>
      </c>
      <c r="C17" s="192">
        <v>1</v>
      </c>
      <c r="D17" s="192">
        <v>1</v>
      </c>
      <c r="E17" s="192">
        <v>2</v>
      </c>
      <c r="F17" s="192">
        <v>1</v>
      </c>
      <c r="G17" s="192">
        <v>2</v>
      </c>
      <c r="H17" s="192"/>
      <c r="I17" s="192">
        <v>1</v>
      </c>
      <c r="J17" s="192">
        <v>1</v>
      </c>
      <c r="K17" s="192"/>
      <c r="L17" s="192">
        <v>1</v>
      </c>
      <c r="M17" s="192">
        <v>1</v>
      </c>
      <c r="N17" s="192"/>
      <c r="O17" s="192">
        <v>2</v>
      </c>
      <c r="P17" s="192">
        <v>1</v>
      </c>
      <c r="Q17" s="114" cm="1">
        <f t="array" ref="Q17">SUMPRODUCT(--(C17:P17&gt;=1))*2.5/7</f>
        <v>3.9285714285714284</v>
      </c>
      <c r="R17" s="33">
        <f t="shared" si="0"/>
        <v>78.571428571428569</v>
      </c>
    </row>
    <row r="18" spans="1:18" ht="26.1" customHeight="1">
      <c r="A18" s="16">
        <v>15</v>
      </c>
      <c r="B18" s="124" t="s">
        <v>162</v>
      </c>
      <c r="C18" s="192">
        <v>1</v>
      </c>
      <c r="D18" s="192"/>
      <c r="E18" s="192">
        <v>1</v>
      </c>
      <c r="F18" s="192"/>
      <c r="G18" s="192">
        <v>1</v>
      </c>
      <c r="H18" s="192"/>
      <c r="I18" s="192">
        <v>1</v>
      </c>
      <c r="J18" s="192">
        <v>1</v>
      </c>
      <c r="K18" s="192"/>
      <c r="L18" s="192">
        <v>1</v>
      </c>
      <c r="M18" s="192">
        <v>1</v>
      </c>
      <c r="N18" s="192"/>
      <c r="O18" s="192"/>
      <c r="P18" s="192"/>
      <c r="Q18" s="114" cm="1">
        <f t="array" ref="Q18">SUMPRODUCT(--(C18:P18&gt;=1))*2.5/7</f>
        <v>2.5</v>
      </c>
      <c r="R18" s="33">
        <f t="shared" si="0"/>
        <v>50</v>
      </c>
    </row>
    <row r="19" spans="1:18" ht="26.1" customHeight="1">
      <c r="A19" s="16">
        <v>16</v>
      </c>
      <c r="B19" s="124" t="s">
        <v>163</v>
      </c>
      <c r="C19" s="192">
        <v>1</v>
      </c>
      <c r="D19" s="192"/>
      <c r="E19" s="192">
        <v>1</v>
      </c>
      <c r="F19" s="192"/>
      <c r="G19" s="192"/>
      <c r="H19" s="192">
        <v>1</v>
      </c>
      <c r="I19" s="192">
        <v>1</v>
      </c>
      <c r="J19" s="192">
        <v>1</v>
      </c>
      <c r="K19" s="192">
        <v>1</v>
      </c>
      <c r="L19" s="192">
        <v>1</v>
      </c>
      <c r="M19" s="192">
        <v>1</v>
      </c>
      <c r="N19" s="192">
        <v>1</v>
      </c>
      <c r="O19" s="192">
        <v>1</v>
      </c>
      <c r="P19" s="192"/>
      <c r="Q19" s="114" cm="1">
        <f t="array" ref="Q19">SUMPRODUCT(--(C19:P19&gt;=1))*2.5/7</f>
        <v>3.5714285714285716</v>
      </c>
      <c r="R19" s="33">
        <f t="shared" si="0"/>
        <v>71.428571428571431</v>
      </c>
    </row>
    <row r="20" spans="1:18" ht="26.1" customHeight="1">
      <c r="A20" s="16">
        <v>17</v>
      </c>
      <c r="B20" s="124" t="s">
        <v>164</v>
      </c>
      <c r="C20" s="192">
        <v>2</v>
      </c>
      <c r="D20" s="192"/>
      <c r="E20" s="192">
        <v>1</v>
      </c>
      <c r="F20" s="192"/>
      <c r="G20" s="192"/>
      <c r="H20" s="192">
        <v>2</v>
      </c>
      <c r="I20" s="192">
        <v>2</v>
      </c>
      <c r="J20" s="192">
        <v>2</v>
      </c>
      <c r="K20" s="192">
        <v>2</v>
      </c>
      <c r="L20" s="192">
        <v>2</v>
      </c>
      <c r="M20" s="192"/>
      <c r="N20" s="192"/>
      <c r="O20" s="192"/>
      <c r="P20" s="192"/>
      <c r="Q20" s="114" cm="1">
        <f t="array" ref="Q20">SUMPRODUCT(--(C20:P20&gt;=1))*2.5/7</f>
        <v>2.5</v>
      </c>
      <c r="R20" s="33">
        <f t="shared" si="0"/>
        <v>50</v>
      </c>
    </row>
    <row r="21" spans="1:18" ht="26.1" customHeight="1">
      <c r="A21" s="16">
        <v>18</v>
      </c>
      <c r="B21" s="124" t="s">
        <v>165</v>
      </c>
      <c r="C21" s="192">
        <v>2</v>
      </c>
      <c r="D21" s="192"/>
      <c r="E21" s="192">
        <v>2</v>
      </c>
      <c r="F21" s="192"/>
      <c r="G21" s="192">
        <v>2</v>
      </c>
      <c r="H21" s="192">
        <v>2</v>
      </c>
      <c r="I21" s="192">
        <v>2</v>
      </c>
      <c r="J21" s="192"/>
      <c r="K21" s="192">
        <v>2</v>
      </c>
      <c r="L21" s="192">
        <v>2</v>
      </c>
      <c r="M21" s="192">
        <v>2</v>
      </c>
      <c r="N21" s="192"/>
      <c r="O21" s="192">
        <v>2</v>
      </c>
      <c r="P21" s="192">
        <v>1</v>
      </c>
      <c r="Q21" s="114" cm="1">
        <f t="array" ref="Q21">SUMPRODUCT(--(C21:P21&gt;=1))*2.5/7</f>
        <v>3.5714285714285716</v>
      </c>
      <c r="R21" s="33">
        <f t="shared" si="0"/>
        <v>71.428571428571431</v>
      </c>
    </row>
    <row r="22" spans="1:18" ht="26.1" customHeight="1">
      <c r="A22" s="16">
        <v>19</v>
      </c>
      <c r="B22" s="124" t="s">
        <v>166</v>
      </c>
      <c r="C22" s="192">
        <v>1</v>
      </c>
      <c r="D22" s="192"/>
      <c r="E22" s="192"/>
      <c r="F22" s="192">
        <v>1</v>
      </c>
      <c r="G22" s="192">
        <v>1</v>
      </c>
      <c r="H22" s="192"/>
      <c r="I22" s="192"/>
      <c r="J22" s="192"/>
      <c r="K22" s="192">
        <v>1</v>
      </c>
      <c r="L22" s="192"/>
      <c r="M22" s="192">
        <v>1</v>
      </c>
      <c r="N22" s="192">
        <v>1</v>
      </c>
      <c r="O22" s="192"/>
      <c r="P22" s="192"/>
      <c r="Q22" s="114" cm="1">
        <f t="array" ref="Q22">SUMPRODUCT(--(C22:P22&gt;=1))*2.5/7</f>
        <v>2.1428571428571428</v>
      </c>
      <c r="R22" s="33">
        <f t="shared" si="0"/>
        <v>42.857142857142854</v>
      </c>
    </row>
    <row r="23" spans="1:18" ht="26.1" customHeight="1">
      <c r="A23" s="16">
        <v>20</v>
      </c>
      <c r="B23" s="124" t="s">
        <v>167</v>
      </c>
      <c r="C23" s="192">
        <v>1</v>
      </c>
      <c r="D23" s="192"/>
      <c r="E23" s="192"/>
      <c r="F23" s="192">
        <v>1</v>
      </c>
      <c r="G23" s="192"/>
      <c r="H23" s="192">
        <v>1</v>
      </c>
      <c r="I23" s="192"/>
      <c r="J23" s="192">
        <v>1</v>
      </c>
      <c r="K23" s="192"/>
      <c r="L23" s="192">
        <v>1</v>
      </c>
      <c r="M23" s="192"/>
      <c r="N23" s="192"/>
      <c r="O23" s="192">
        <v>2</v>
      </c>
      <c r="P23" s="192"/>
      <c r="Q23" s="114" cm="1">
        <f t="array" ref="Q23">SUMPRODUCT(--(C23:P23&gt;=1))*2.5/7</f>
        <v>2.1428571428571428</v>
      </c>
      <c r="R23" s="33">
        <f t="shared" si="0"/>
        <v>42.857142857142854</v>
      </c>
    </row>
    <row r="24" spans="1:18" ht="26.1" customHeight="1">
      <c r="A24" s="16">
        <v>21</v>
      </c>
      <c r="B24" s="124" t="s">
        <v>168</v>
      </c>
      <c r="C24" s="192">
        <v>1</v>
      </c>
      <c r="D24" s="192">
        <v>2</v>
      </c>
      <c r="E24" s="192">
        <v>2</v>
      </c>
      <c r="F24" s="192"/>
      <c r="G24" s="192">
        <v>2</v>
      </c>
      <c r="H24" s="192">
        <v>2</v>
      </c>
      <c r="I24" s="192">
        <v>1</v>
      </c>
      <c r="J24" s="192">
        <v>2</v>
      </c>
      <c r="K24" s="192">
        <v>1</v>
      </c>
      <c r="L24" s="192">
        <v>4</v>
      </c>
      <c r="M24" s="192"/>
      <c r="N24" s="192">
        <v>5</v>
      </c>
      <c r="O24" s="192">
        <v>4</v>
      </c>
      <c r="P24" s="192">
        <v>1</v>
      </c>
      <c r="Q24" s="114" cm="1">
        <f t="array" ref="Q24">SUMPRODUCT(--(C24:P24&gt;=1))*2.5/7</f>
        <v>4.2857142857142856</v>
      </c>
      <c r="R24" s="33">
        <f t="shared" si="0"/>
        <v>85.714285714285708</v>
      </c>
    </row>
    <row r="25" spans="1:18" ht="26.1" customHeight="1">
      <c r="A25" s="16">
        <v>22</v>
      </c>
      <c r="B25" s="124" t="s">
        <v>169</v>
      </c>
      <c r="C25" s="192">
        <v>1</v>
      </c>
      <c r="D25" s="192">
        <v>1</v>
      </c>
      <c r="E25" s="192"/>
      <c r="F25" s="192">
        <v>1</v>
      </c>
      <c r="G25" s="192"/>
      <c r="H25" s="192">
        <v>1</v>
      </c>
      <c r="I25" s="192"/>
      <c r="J25" s="192">
        <v>1</v>
      </c>
      <c r="K25" s="192">
        <v>1</v>
      </c>
      <c r="L25" s="192">
        <v>1</v>
      </c>
      <c r="M25" s="192"/>
      <c r="N25" s="192">
        <v>1</v>
      </c>
      <c r="O25" s="192">
        <v>5</v>
      </c>
      <c r="P25" s="192"/>
      <c r="Q25" s="114" cm="1">
        <f t="array" ref="Q25">SUMPRODUCT(--(C25:P25&gt;=1))*2.5/7</f>
        <v>3.2142857142857144</v>
      </c>
      <c r="R25" s="33">
        <f t="shared" si="0"/>
        <v>64.285714285714292</v>
      </c>
    </row>
    <row r="26" spans="1:18" ht="26.1" customHeight="1">
      <c r="A26" s="16">
        <v>23</v>
      </c>
      <c r="B26" s="124" t="s">
        <v>170</v>
      </c>
      <c r="C26" s="192">
        <v>1</v>
      </c>
      <c r="D26" s="192"/>
      <c r="E26" s="192">
        <v>1</v>
      </c>
      <c r="F26" s="192"/>
      <c r="G26" s="192">
        <v>1</v>
      </c>
      <c r="H26" s="192"/>
      <c r="I26" s="192">
        <v>1</v>
      </c>
      <c r="J26" s="192">
        <v>1</v>
      </c>
      <c r="K26" s="192">
        <v>1</v>
      </c>
      <c r="L26" s="192">
        <v>1</v>
      </c>
      <c r="M26" s="192">
        <v>1</v>
      </c>
      <c r="N26" s="192"/>
      <c r="O26" s="192"/>
      <c r="P26" s="192"/>
      <c r="Q26" s="114" cm="1">
        <f t="array" ref="Q26">SUMPRODUCT(--(C26:P26&gt;=1))*2.5/7</f>
        <v>2.8571428571428572</v>
      </c>
      <c r="R26" s="33">
        <f t="shared" si="0"/>
        <v>57.142857142857139</v>
      </c>
    </row>
    <row r="27" spans="1:18" ht="26.1" customHeight="1">
      <c r="A27" s="16">
        <v>24</v>
      </c>
      <c r="B27" s="124" t="s">
        <v>171</v>
      </c>
      <c r="C27" s="192">
        <v>1</v>
      </c>
      <c r="D27" s="192"/>
      <c r="E27" s="192">
        <v>2</v>
      </c>
      <c r="F27" s="192"/>
      <c r="G27" s="192">
        <v>2</v>
      </c>
      <c r="H27" s="192"/>
      <c r="I27" s="192">
        <v>2</v>
      </c>
      <c r="J27" s="192">
        <v>1</v>
      </c>
      <c r="K27" s="192">
        <v>1</v>
      </c>
      <c r="L27" s="192"/>
      <c r="M27" s="192">
        <v>1</v>
      </c>
      <c r="N27" s="192">
        <v>1</v>
      </c>
      <c r="O27" s="192">
        <v>1</v>
      </c>
      <c r="P27" s="192"/>
      <c r="Q27" s="114" cm="1">
        <f t="array" ref="Q27">SUMPRODUCT(--(C27:P27&gt;=1))*2.5/7</f>
        <v>3.2142857142857144</v>
      </c>
      <c r="R27" s="33">
        <f t="shared" si="0"/>
        <v>64.285714285714292</v>
      </c>
    </row>
    <row r="28" spans="1:18" ht="26.1" customHeight="1">
      <c r="A28" s="16">
        <v>25</v>
      </c>
      <c r="B28" s="124" t="s">
        <v>172</v>
      </c>
      <c r="C28" s="192">
        <v>1</v>
      </c>
      <c r="D28" s="192"/>
      <c r="E28" s="192">
        <v>1</v>
      </c>
      <c r="F28" s="192">
        <v>2</v>
      </c>
      <c r="G28" s="192"/>
      <c r="H28" s="192">
        <v>1</v>
      </c>
      <c r="I28" s="192"/>
      <c r="J28" s="192">
        <v>1</v>
      </c>
      <c r="K28" s="192"/>
      <c r="L28" s="192">
        <v>1</v>
      </c>
      <c r="M28" s="192"/>
      <c r="N28" s="192">
        <v>1</v>
      </c>
      <c r="O28" s="192">
        <v>1</v>
      </c>
      <c r="P28" s="192"/>
      <c r="Q28" s="114" cm="1">
        <f t="array" ref="Q28">SUMPRODUCT(--(C28:P28&gt;=1))*2.5/7</f>
        <v>2.8571428571428572</v>
      </c>
      <c r="R28" s="33">
        <f t="shared" si="0"/>
        <v>57.142857142857139</v>
      </c>
    </row>
    <row r="29" spans="1:18" ht="26.1" customHeight="1">
      <c r="A29" s="16">
        <v>26</v>
      </c>
      <c r="B29" s="124" t="s">
        <v>173</v>
      </c>
      <c r="C29" s="192">
        <v>1</v>
      </c>
      <c r="D29" s="192"/>
      <c r="E29" s="192">
        <v>1</v>
      </c>
      <c r="F29" s="192"/>
      <c r="G29" s="192">
        <v>1</v>
      </c>
      <c r="H29" s="192"/>
      <c r="I29" s="192">
        <v>1</v>
      </c>
      <c r="J29" s="192"/>
      <c r="K29" s="192">
        <v>1</v>
      </c>
      <c r="L29" s="192">
        <v>1</v>
      </c>
      <c r="M29" s="192">
        <v>1</v>
      </c>
      <c r="N29" s="192">
        <v>1</v>
      </c>
      <c r="O29" s="192"/>
      <c r="P29" s="192"/>
      <c r="Q29" s="114" cm="1">
        <f t="array" ref="Q29">SUMPRODUCT(--(C29:P29&gt;=1))*2.5/7</f>
        <v>2.8571428571428572</v>
      </c>
      <c r="R29" s="33">
        <f t="shared" si="0"/>
        <v>57.142857142857139</v>
      </c>
    </row>
    <row r="30" spans="1:18" ht="26.1" customHeight="1">
      <c r="A30" s="16">
        <v>27</v>
      </c>
      <c r="B30" s="124" t="s">
        <v>174</v>
      </c>
      <c r="C30" s="192">
        <v>1</v>
      </c>
      <c r="D30" s="192"/>
      <c r="E30" s="192">
        <v>1</v>
      </c>
      <c r="F30" s="192"/>
      <c r="G30" s="192">
        <v>1</v>
      </c>
      <c r="H30" s="192">
        <v>1</v>
      </c>
      <c r="I30" s="192">
        <v>1</v>
      </c>
      <c r="J30" s="192">
        <v>1</v>
      </c>
      <c r="K30" s="192"/>
      <c r="L30" s="192"/>
      <c r="M30" s="192">
        <v>1</v>
      </c>
      <c r="N30" s="192"/>
      <c r="O30" s="192"/>
      <c r="P30" s="192"/>
      <c r="Q30" s="114" cm="1">
        <f t="array" ref="Q30">SUMPRODUCT(--(C30:P30&gt;=1))*2.5/7</f>
        <v>2.5</v>
      </c>
      <c r="R30" s="33">
        <f t="shared" si="0"/>
        <v>50</v>
      </c>
    </row>
    <row r="31" spans="1:18" ht="26.1" customHeight="1">
      <c r="A31" s="16">
        <v>28</v>
      </c>
      <c r="B31" s="124" t="s">
        <v>175</v>
      </c>
      <c r="C31" s="192">
        <v>1</v>
      </c>
      <c r="D31" s="192"/>
      <c r="E31" s="192">
        <v>1</v>
      </c>
      <c r="F31" s="192"/>
      <c r="G31" s="192">
        <v>1</v>
      </c>
      <c r="H31" s="192">
        <v>1</v>
      </c>
      <c r="I31" s="192">
        <v>1</v>
      </c>
      <c r="J31" s="192">
        <v>1</v>
      </c>
      <c r="K31" s="192">
        <v>1</v>
      </c>
      <c r="L31" s="192">
        <v>1</v>
      </c>
      <c r="M31" s="192"/>
      <c r="N31" s="192"/>
      <c r="O31" s="192">
        <v>1</v>
      </c>
      <c r="P31" s="192"/>
      <c r="Q31" s="114" cm="1">
        <f t="array" ref="Q31">SUMPRODUCT(--(C31:P31&gt;=1))*2.5/7</f>
        <v>3.2142857142857144</v>
      </c>
      <c r="R31" s="33">
        <f t="shared" si="0"/>
        <v>64.285714285714292</v>
      </c>
    </row>
    <row r="32" spans="1:18" ht="26.1" customHeight="1">
      <c r="A32" s="16">
        <v>29</v>
      </c>
      <c r="B32" s="124" t="s">
        <v>176</v>
      </c>
      <c r="C32" s="192">
        <v>1</v>
      </c>
      <c r="D32" s="192">
        <v>1</v>
      </c>
      <c r="E32" s="192">
        <v>1</v>
      </c>
      <c r="F32" s="192">
        <v>3</v>
      </c>
      <c r="G32" s="192">
        <v>1</v>
      </c>
      <c r="H32" s="192">
        <v>3</v>
      </c>
      <c r="I32" s="192">
        <v>2</v>
      </c>
      <c r="J32" s="192">
        <v>5</v>
      </c>
      <c r="K32" s="192"/>
      <c r="L32" s="192">
        <v>5</v>
      </c>
      <c r="M32" s="192">
        <v>4</v>
      </c>
      <c r="N32" s="192">
        <v>3</v>
      </c>
      <c r="O32" s="192">
        <v>2</v>
      </c>
      <c r="P32" s="192">
        <v>4</v>
      </c>
      <c r="Q32" s="114" cm="1">
        <f t="array" ref="Q32">SUMPRODUCT(--(C32:P32&gt;=1))*2.5/7</f>
        <v>4.6428571428571432</v>
      </c>
      <c r="R32" s="33">
        <f t="shared" si="0"/>
        <v>92.857142857142861</v>
      </c>
    </row>
    <row r="33" spans="1:18" ht="26.1" customHeight="1">
      <c r="A33" s="16">
        <v>30</v>
      </c>
      <c r="B33" s="124" t="s">
        <v>177</v>
      </c>
      <c r="C33" s="192">
        <v>1</v>
      </c>
      <c r="D33" s="192">
        <v>1</v>
      </c>
      <c r="E33" s="192">
        <v>1</v>
      </c>
      <c r="F33" s="192">
        <v>1</v>
      </c>
      <c r="G33" s="192">
        <v>1</v>
      </c>
      <c r="H33" s="192">
        <v>1</v>
      </c>
      <c r="I33" s="192"/>
      <c r="J33" s="192"/>
      <c r="K33" s="192">
        <v>1</v>
      </c>
      <c r="L33" s="192"/>
      <c r="M33" s="192">
        <v>1</v>
      </c>
      <c r="N33" s="192"/>
      <c r="O33" s="192"/>
      <c r="P33" s="192"/>
      <c r="Q33" s="114" cm="1">
        <f t="array" ref="Q33">SUMPRODUCT(--(C33:P33&gt;=1))*2.5/7</f>
        <v>2.8571428571428572</v>
      </c>
      <c r="R33" s="33">
        <f t="shared" si="0"/>
        <v>57.142857142857139</v>
      </c>
    </row>
    <row r="34" spans="1:18" ht="26.1" customHeight="1">
      <c r="A34" s="16">
        <v>31</v>
      </c>
      <c r="B34" s="124" t="s">
        <v>178</v>
      </c>
      <c r="C34" s="192">
        <v>1</v>
      </c>
      <c r="D34" s="192">
        <v>2</v>
      </c>
      <c r="E34" s="192"/>
      <c r="F34" s="192"/>
      <c r="G34" s="192">
        <v>1</v>
      </c>
      <c r="H34" s="192">
        <v>3</v>
      </c>
      <c r="I34" s="192">
        <v>4</v>
      </c>
      <c r="J34" s="192"/>
      <c r="K34" s="192"/>
      <c r="L34" s="192">
        <v>1</v>
      </c>
      <c r="M34" s="192"/>
      <c r="N34" s="192"/>
      <c r="O34" s="192">
        <v>1</v>
      </c>
      <c r="P34" s="192"/>
      <c r="Q34" s="114" cm="1">
        <f t="array" ref="Q34">SUMPRODUCT(--(C34:P34&gt;=1))*2.5/7</f>
        <v>2.5</v>
      </c>
      <c r="R34" s="33">
        <f t="shared" si="0"/>
        <v>50</v>
      </c>
    </row>
    <row r="35" spans="1:18" ht="26.1" customHeight="1">
      <c r="A35" s="16">
        <v>32</v>
      </c>
      <c r="B35" s="124" t="s">
        <v>179</v>
      </c>
      <c r="C35" s="192">
        <v>1</v>
      </c>
      <c r="D35" s="192"/>
      <c r="E35" s="192">
        <v>1</v>
      </c>
      <c r="F35" s="192">
        <v>1</v>
      </c>
      <c r="G35" s="192">
        <v>1</v>
      </c>
      <c r="H35" s="192">
        <v>1</v>
      </c>
      <c r="I35" s="192"/>
      <c r="J35" s="192"/>
      <c r="K35" s="192">
        <v>1</v>
      </c>
      <c r="L35" s="192"/>
      <c r="M35" s="192">
        <v>1</v>
      </c>
      <c r="N35" s="192"/>
      <c r="O35" s="192">
        <v>2</v>
      </c>
      <c r="P35" s="192"/>
      <c r="Q35" s="114" cm="1">
        <f t="array" ref="Q35">SUMPRODUCT(--(C35:P35&gt;=1))*2.5/7</f>
        <v>2.8571428571428572</v>
      </c>
      <c r="R35" s="33">
        <f t="shared" si="0"/>
        <v>57.142857142857139</v>
      </c>
    </row>
    <row r="36" spans="1:18" ht="26.1" customHeight="1">
      <c r="A36" s="16">
        <v>33</v>
      </c>
      <c r="B36" s="124" t="s">
        <v>180</v>
      </c>
      <c r="C36" s="192">
        <v>1</v>
      </c>
      <c r="D36" s="192"/>
      <c r="E36" s="192">
        <v>1</v>
      </c>
      <c r="F36" s="192"/>
      <c r="G36" s="192">
        <v>1</v>
      </c>
      <c r="H36" s="192">
        <v>1</v>
      </c>
      <c r="I36" s="192">
        <v>1</v>
      </c>
      <c r="J36" s="192">
        <v>1</v>
      </c>
      <c r="K36" s="192">
        <v>1</v>
      </c>
      <c r="L36" s="192">
        <v>1</v>
      </c>
      <c r="M36" s="192"/>
      <c r="N36" s="192"/>
      <c r="O36" s="192"/>
      <c r="P36" s="192"/>
      <c r="Q36" s="114" cm="1">
        <f t="array" ref="Q36">SUMPRODUCT(--(C36:P36&gt;=1))*2.5/7</f>
        <v>2.8571428571428572</v>
      </c>
      <c r="R36" s="33">
        <f t="shared" si="0"/>
        <v>57.142857142857139</v>
      </c>
    </row>
    <row r="37" spans="1:18" ht="24.9" customHeight="1">
      <c r="A37" s="247" t="s">
        <v>137</v>
      </c>
      <c r="B37" s="247"/>
      <c r="C37" s="115">
        <f>SUM(C4:C36)</f>
        <v>41</v>
      </c>
      <c r="D37" s="115">
        <f t="shared" ref="D37:P37" si="1">SUM(D4:D36)</f>
        <v>12</v>
      </c>
      <c r="E37" s="115">
        <f t="shared" si="1"/>
        <v>29</v>
      </c>
      <c r="F37" s="115">
        <f t="shared" si="1"/>
        <v>21</v>
      </c>
      <c r="G37" s="115">
        <f t="shared" si="1"/>
        <v>30</v>
      </c>
      <c r="H37" s="115">
        <f t="shared" si="1"/>
        <v>32</v>
      </c>
      <c r="I37" s="115">
        <f t="shared" si="1"/>
        <v>33</v>
      </c>
      <c r="J37" s="115">
        <f t="shared" si="1"/>
        <v>31</v>
      </c>
      <c r="K37" s="115">
        <f t="shared" si="1"/>
        <v>20</v>
      </c>
      <c r="L37" s="115">
        <f t="shared" si="1"/>
        <v>35</v>
      </c>
      <c r="M37" s="115">
        <f t="shared" si="1"/>
        <v>27</v>
      </c>
      <c r="N37" s="115">
        <f t="shared" si="1"/>
        <v>20</v>
      </c>
      <c r="O37" s="115">
        <f t="shared" si="1"/>
        <v>37</v>
      </c>
      <c r="P37" s="115">
        <f t="shared" si="1"/>
        <v>7</v>
      </c>
      <c r="Q37" s="116">
        <f>AVERAGE(Q4:Q36)</f>
        <v>2.9220779220779227</v>
      </c>
      <c r="R37" s="116">
        <f t="shared" si="0"/>
        <v>58.441558441558449</v>
      </c>
    </row>
    <row r="38" spans="1:18" ht="24.9" customHeight="1"/>
  </sheetData>
  <mergeCells count="13">
    <mergeCell ref="A37:B37"/>
    <mergeCell ref="A2:A3"/>
    <mergeCell ref="B2:B3"/>
    <mergeCell ref="C2:D2"/>
    <mergeCell ref="E2:F2"/>
    <mergeCell ref="Q2:Q3"/>
    <mergeCell ref="R2:R3"/>
    <mergeCell ref="A1:R1"/>
    <mergeCell ref="G2:H2"/>
    <mergeCell ref="I2:J2"/>
    <mergeCell ref="K2:L2"/>
    <mergeCell ref="M2:N2"/>
    <mergeCell ref="O2:P2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87" fitToHeight="0" orientation="landscape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5C17-27CF-4B9D-9E09-73C655BA9500}">
  <sheetPr codeName="Sheet55">
    <tabColor rgb="FFD90BA8"/>
    <pageSetUpPr fitToPage="1"/>
  </sheetPr>
  <dimension ref="A1:I36"/>
  <sheetViews>
    <sheetView workbookViewId="0">
      <pane ySplit="2" topLeftCell="A3" activePane="bottomLeft" state="frozen"/>
      <selection pane="bottomLeft" activeCell="M14" sqref="M14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13" customWidth="1"/>
  </cols>
  <sheetData>
    <row r="1" spans="1:9" ht="25.35" customHeight="1">
      <c r="A1" s="226" t="s">
        <v>147</v>
      </c>
      <c r="B1" s="206"/>
      <c r="C1" s="206"/>
      <c r="D1" s="206"/>
    </row>
    <row r="2" spans="1:9" ht="31.2">
      <c r="A2" s="117" t="s">
        <v>12</v>
      </c>
      <c r="B2" s="118" t="s">
        <v>1</v>
      </c>
      <c r="C2" s="119" t="s">
        <v>6</v>
      </c>
      <c r="D2" s="120" t="s">
        <v>146</v>
      </c>
    </row>
    <row r="3" spans="1:9" ht="18" customHeight="1">
      <c r="A3" s="8">
        <v>1</v>
      </c>
      <c r="B3" s="124" t="s">
        <v>148</v>
      </c>
      <c r="C3" s="33">
        <v>0</v>
      </c>
      <c r="D3" s="33">
        <v>0</v>
      </c>
    </row>
    <row r="4" spans="1:9" ht="18" customHeight="1">
      <c r="A4" s="8">
        <v>2</v>
      </c>
      <c r="B4" s="124" t="s">
        <v>149</v>
      </c>
      <c r="C4" s="33">
        <v>0</v>
      </c>
      <c r="D4" s="33">
        <v>0</v>
      </c>
    </row>
    <row r="5" spans="1:9" ht="18" customHeight="1">
      <c r="A5" s="8">
        <v>3</v>
      </c>
      <c r="B5" s="124" t="s">
        <v>150</v>
      </c>
      <c r="C5" s="33">
        <v>0</v>
      </c>
      <c r="D5" s="33">
        <v>0</v>
      </c>
    </row>
    <row r="6" spans="1:9" ht="18" customHeight="1">
      <c r="A6" s="8">
        <v>4</v>
      </c>
      <c r="B6" s="124" t="s">
        <v>151</v>
      </c>
      <c r="C6" s="33">
        <v>0</v>
      </c>
      <c r="D6" s="33">
        <v>0</v>
      </c>
    </row>
    <row r="7" spans="1:9" ht="18" customHeight="1">
      <c r="A7" s="8">
        <v>5</v>
      </c>
      <c r="B7" s="124" t="s">
        <v>152</v>
      </c>
      <c r="C7" s="33">
        <v>0</v>
      </c>
      <c r="D7" s="33">
        <v>0</v>
      </c>
    </row>
    <row r="8" spans="1:9" ht="18" customHeight="1">
      <c r="A8" s="8">
        <v>6</v>
      </c>
      <c r="B8" s="124" t="s">
        <v>153</v>
      </c>
      <c r="C8" s="33">
        <v>0</v>
      </c>
      <c r="D8" s="33">
        <v>0</v>
      </c>
    </row>
    <row r="9" spans="1:9" ht="18" customHeight="1">
      <c r="A9" s="8">
        <v>7</v>
      </c>
      <c r="B9" s="124" t="s">
        <v>154</v>
      </c>
      <c r="C9" s="33">
        <v>0</v>
      </c>
      <c r="D9" s="33">
        <v>0</v>
      </c>
    </row>
    <row r="10" spans="1:9" ht="18" customHeight="1">
      <c r="A10" s="8">
        <v>8</v>
      </c>
      <c r="B10" s="124" t="s">
        <v>155</v>
      </c>
      <c r="C10" s="33">
        <v>0</v>
      </c>
      <c r="D10" s="33">
        <v>0</v>
      </c>
      <c r="I10" s="121"/>
    </row>
    <row r="11" spans="1:9" ht="18" customHeight="1">
      <c r="A11" s="8">
        <v>9</v>
      </c>
      <c r="B11" s="124" t="s">
        <v>156</v>
      </c>
      <c r="C11" s="33">
        <v>0</v>
      </c>
      <c r="D11" s="33">
        <v>0</v>
      </c>
    </row>
    <row r="12" spans="1:9" ht="18" customHeight="1">
      <c r="A12" s="8">
        <v>10</v>
      </c>
      <c r="B12" s="124" t="s">
        <v>157</v>
      </c>
      <c r="C12" s="33">
        <v>0</v>
      </c>
      <c r="D12" s="33">
        <v>0</v>
      </c>
    </row>
    <row r="13" spans="1:9" ht="18" customHeight="1">
      <c r="A13" s="8">
        <v>11</v>
      </c>
      <c r="B13" s="124" t="s">
        <v>158</v>
      </c>
      <c r="C13" s="33">
        <v>0</v>
      </c>
      <c r="D13" s="33">
        <v>0</v>
      </c>
    </row>
    <row r="14" spans="1:9" ht="18" customHeight="1">
      <c r="A14" s="8">
        <v>12</v>
      </c>
      <c r="B14" s="124" t="s">
        <v>159</v>
      </c>
      <c r="C14" s="33">
        <v>0</v>
      </c>
      <c r="D14" s="33">
        <v>0</v>
      </c>
    </row>
    <row r="15" spans="1:9" ht="18" customHeight="1">
      <c r="A15" s="8">
        <v>13</v>
      </c>
      <c r="B15" s="124" t="s">
        <v>160</v>
      </c>
      <c r="C15" s="33">
        <v>0</v>
      </c>
      <c r="D15" s="33">
        <v>0</v>
      </c>
    </row>
    <row r="16" spans="1:9" ht="18" customHeight="1">
      <c r="A16" s="8">
        <v>14</v>
      </c>
      <c r="B16" s="124" t="s">
        <v>161</v>
      </c>
      <c r="C16" s="33">
        <v>0</v>
      </c>
      <c r="D16" s="33">
        <v>0</v>
      </c>
    </row>
    <row r="17" spans="1:4" ht="18" customHeight="1">
      <c r="A17" s="8">
        <v>15</v>
      </c>
      <c r="B17" s="124" t="s">
        <v>162</v>
      </c>
      <c r="C17" s="33">
        <v>0</v>
      </c>
      <c r="D17" s="33">
        <v>0</v>
      </c>
    </row>
    <row r="18" spans="1:4" ht="18" customHeight="1">
      <c r="A18" s="8">
        <v>16</v>
      </c>
      <c r="B18" s="124" t="s">
        <v>163</v>
      </c>
      <c r="C18" s="33">
        <v>0</v>
      </c>
      <c r="D18" s="33">
        <v>0</v>
      </c>
    </row>
    <row r="19" spans="1:4" ht="18" customHeight="1">
      <c r="A19" s="8">
        <v>17</v>
      </c>
      <c r="B19" s="124" t="s">
        <v>164</v>
      </c>
      <c r="C19" s="33">
        <v>0</v>
      </c>
      <c r="D19" s="33">
        <v>0</v>
      </c>
    </row>
    <row r="20" spans="1:4" ht="18" customHeight="1">
      <c r="A20" s="8">
        <v>18</v>
      </c>
      <c r="B20" s="124" t="s">
        <v>165</v>
      </c>
      <c r="C20" s="33">
        <v>0</v>
      </c>
      <c r="D20" s="33">
        <v>0</v>
      </c>
    </row>
    <row r="21" spans="1:4" ht="18" customHeight="1">
      <c r="A21" s="8">
        <v>19</v>
      </c>
      <c r="B21" s="124" t="s">
        <v>166</v>
      </c>
      <c r="C21" s="33">
        <v>0</v>
      </c>
      <c r="D21" s="33">
        <v>0</v>
      </c>
    </row>
    <row r="22" spans="1:4" ht="18" customHeight="1">
      <c r="A22" s="8">
        <v>20</v>
      </c>
      <c r="B22" s="124" t="s">
        <v>167</v>
      </c>
      <c r="C22" s="33">
        <v>0</v>
      </c>
      <c r="D22" s="33">
        <v>0</v>
      </c>
    </row>
    <row r="23" spans="1:4" ht="18" customHeight="1">
      <c r="A23" s="8">
        <v>21</v>
      </c>
      <c r="B23" s="124" t="s">
        <v>168</v>
      </c>
      <c r="C23" s="33">
        <v>0</v>
      </c>
      <c r="D23" s="33">
        <v>0</v>
      </c>
    </row>
    <row r="24" spans="1:4" ht="18" customHeight="1">
      <c r="A24" s="8">
        <v>22</v>
      </c>
      <c r="B24" s="124" t="s">
        <v>169</v>
      </c>
      <c r="C24" s="33">
        <v>0</v>
      </c>
      <c r="D24" s="33">
        <v>0</v>
      </c>
    </row>
    <row r="25" spans="1:4" ht="18" customHeight="1">
      <c r="A25" s="8">
        <v>23</v>
      </c>
      <c r="B25" s="124" t="s">
        <v>170</v>
      </c>
      <c r="C25" s="33">
        <v>0</v>
      </c>
      <c r="D25" s="33">
        <v>0</v>
      </c>
    </row>
    <row r="26" spans="1:4" ht="18" customHeight="1">
      <c r="A26" s="8">
        <v>24</v>
      </c>
      <c r="B26" s="124" t="s">
        <v>171</v>
      </c>
      <c r="C26" s="33">
        <v>0</v>
      </c>
      <c r="D26" s="33">
        <v>0</v>
      </c>
    </row>
    <row r="27" spans="1:4" ht="18" customHeight="1">
      <c r="A27" s="8">
        <v>25</v>
      </c>
      <c r="B27" s="124" t="s">
        <v>172</v>
      </c>
      <c r="C27" s="33">
        <v>0</v>
      </c>
      <c r="D27" s="33">
        <v>0</v>
      </c>
    </row>
    <row r="28" spans="1:4" ht="18" customHeight="1">
      <c r="A28" s="8">
        <v>26</v>
      </c>
      <c r="B28" s="124" t="s">
        <v>173</v>
      </c>
      <c r="C28" s="33">
        <v>0</v>
      </c>
      <c r="D28" s="33">
        <v>0</v>
      </c>
    </row>
    <row r="29" spans="1:4" ht="18" customHeight="1">
      <c r="A29" s="8">
        <v>27</v>
      </c>
      <c r="B29" s="124" t="s">
        <v>174</v>
      </c>
      <c r="C29" s="33">
        <v>0</v>
      </c>
      <c r="D29" s="33">
        <v>0</v>
      </c>
    </row>
    <row r="30" spans="1:4" ht="18" customHeight="1">
      <c r="A30" s="8">
        <v>28</v>
      </c>
      <c r="B30" s="124" t="s">
        <v>175</v>
      </c>
      <c r="C30" s="33">
        <v>0</v>
      </c>
      <c r="D30" s="33">
        <v>0</v>
      </c>
    </row>
    <row r="31" spans="1:4" ht="18" customHeight="1">
      <c r="A31" s="8">
        <v>29</v>
      </c>
      <c r="B31" s="124" t="s">
        <v>176</v>
      </c>
      <c r="C31" s="33">
        <v>0</v>
      </c>
      <c r="D31" s="33">
        <v>0</v>
      </c>
    </row>
    <row r="32" spans="1:4" ht="18" customHeight="1">
      <c r="A32" s="8">
        <v>30</v>
      </c>
      <c r="B32" s="124" t="s">
        <v>177</v>
      </c>
      <c r="C32" s="33">
        <v>0</v>
      </c>
      <c r="D32" s="33">
        <v>0</v>
      </c>
    </row>
    <row r="33" spans="1:4" ht="18" customHeight="1">
      <c r="A33" s="8">
        <v>31</v>
      </c>
      <c r="B33" s="124" t="s">
        <v>178</v>
      </c>
      <c r="C33" s="33">
        <v>0</v>
      </c>
      <c r="D33" s="33">
        <v>0</v>
      </c>
    </row>
    <row r="34" spans="1:4" ht="18" customHeight="1">
      <c r="A34" s="8">
        <v>32</v>
      </c>
      <c r="B34" s="124" t="s">
        <v>179</v>
      </c>
      <c r="C34" s="33">
        <v>0</v>
      </c>
      <c r="D34" s="33">
        <v>0</v>
      </c>
    </row>
    <row r="35" spans="1:4" ht="18" customHeight="1">
      <c r="A35" s="8">
        <v>33</v>
      </c>
      <c r="B35" s="124" t="s">
        <v>180</v>
      </c>
      <c r="C35" s="33">
        <v>0</v>
      </c>
      <c r="D35" s="33">
        <v>0</v>
      </c>
    </row>
    <row r="36" spans="1:4" ht="20.100000000000001" hidden="1" customHeight="1">
      <c r="A36" s="248" t="s">
        <v>137</v>
      </c>
      <c r="B36" s="248"/>
      <c r="C36" s="122"/>
      <c r="D36" s="123">
        <v>0</v>
      </c>
    </row>
  </sheetData>
  <mergeCells count="2">
    <mergeCell ref="A1:D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C95F-F2D8-42CE-AB75-F8709F1546E3}">
  <sheetPr>
    <tabColor theme="8" tint="0.39997558519241921"/>
    <pageSetUpPr fitToPage="1"/>
  </sheetPr>
  <dimension ref="A1:K36"/>
  <sheetViews>
    <sheetView workbookViewId="0">
      <pane ySplit="2" topLeftCell="A27" activePane="bottomLeft" state="frozen"/>
      <selection pane="bottomLeft" activeCell="J10" sqref="J10"/>
    </sheetView>
  </sheetViews>
  <sheetFormatPr defaultRowHeight="14.4"/>
  <cols>
    <col min="1" max="1" width="5" bestFit="1" customWidth="1"/>
    <col min="2" max="2" width="22.44140625" style="91" customWidth="1"/>
    <col min="3" max="3" width="18.109375" style="12" customWidth="1"/>
    <col min="4" max="4" width="17.21875" customWidth="1"/>
    <col min="5" max="5" width="15" customWidth="1"/>
    <col min="6" max="6" width="16.77734375" style="13" customWidth="1"/>
  </cols>
  <sheetData>
    <row r="1" spans="1:11" ht="39.6" customHeight="1">
      <c r="A1" s="226" t="s">
        <v>181</v>
      </c>
      <c r="B1" s="206"/>
      <c r="C1" s="206"/>
      <c r="D1" s="206"/>
      <c r="E1" s="206"/>
      <c r="F1" s="206"/>
    </row>
    <row r="2" spans="1:11" ht="31.2">
      <c r="A2" s="117" t="s">
        <v>12</v>
      </c>
      <c r="B2" s="118" t="s">
        <v>1</v>
      </c>
      <c r="C2" s="84" t="s">
        <v>191</v>
      </c>
      <c r="D2" s="84" t="s">
        <v>192</v>
      </c>
      <c r="E2" s="119" t="s">
        <v>6</v>
      </c>
      <c r="F2" s="120" t="s">
        <v>146</v>
      </c>
    </row>
    <row r="3" spans="1:11" ht="19.95" customHeight="1">
      <c r="A3" s="8">
        <v>1</v>
      </c>
      <c r="B3" s="124" t="s">
        <v>148</v>
      </c>
      <c r="C3" s="126"/>
      <c r="D3" s="126"/>
      <c r="E3" s="33">
        <f>IF(C3=0,100,D3*100/C3)</f>
        <v>100</v>
      </c>
      <c r="F3" s="33">
        <f>E3*5%</f>
        <v>5</v>
      </c>
    </row>
    <row r="4" spans="1:11" ht="19.95" customHeight="1">
      <c r="A4" s="8">
        <v>2</v>
      </c>
      <c r="B4" s="124" t="s">
        <v>149</v>
      </c>
      <c r="C4" s="126">
        <v>1</v>
      </c>
      <c r="D4" s="126">
        <v>0</v>
      </c>
      <c r="E4" s="33">
        <f t="shared" ref="E4:E36" si="0">IF(C4=0,100,D4*100/C4)</f>
        <v>0</v>
      </c>
      <c r="F4" s="33">
        <f t="shared" ref="F4:F35" si="1">E4*5%</f>
        <v>0</v>
      </c>
    </row>
    <row r="5" spans="1:11" ht="19.95" customHeight="1">
      <c r="A5" s="8">
        <v>3</v>
      </c>
      <c r="B5" s="124" t="s">
        <v>150</v>
      </c>
      <c r="C5" s="126"/>
      <c r="D5" s="126"/>
      <c r="E5" s="33">
        <f t="shared" si="0"/>
        <v>100</v>
      </c>
      <c r="F5" s="33">
        <f t="shared" si="1"/>
        <v>5</v>
      </c>
    </row>
    <row r="6" spans="1:11" ht="19.95" customHeight="1">
      <c r="A6" s="8">
        <v>4</v>
      </c>
      <c r="B6" s="124" t="s">
        <v>151</v>
      </c>
      <c r="C6" s="126"/>
      <c r="D6" s="126"/>
      <c r="E6" s="33">
        <f t="shared" si="0"/>
        <v>100</v>
      </c>
      <c r="F6" s="33">
        <f t="shared" si="1"/>
        <v>5</v>
      </c>
    </row>
    <row r="7" spans="1:11" ht="19.95" customHeight="1">
      <c r="A7" s="8">
        <v>5</v>
      </c>
      <c r="B7" s="124" t="s">
        <v>152</v>
      </c>
      <c r="C7" s="126">
        <v>5</v>
      </c>
      <c r="D7" s="126">
        <v>4</v>
      </c>
      <c r="E7" s="33">
        <f t="shared" si="0"/>
        <v>80</v>
      </c>
      <c r="F7" s="33">
        <f t="shared" si="1"/>
        <v>4</v>
      </c>
    </row>
    <row r="8" spans="1:11" ht="19.95" customHeight="1">
      <c r="A8" s="8">
        <v>6</v>
      </c>
      <c r="B8" s="124" t="s">
        <v>153</v>
      </c>
      <c r="C8" s="126"/>
      <c r="D8" s="126"/>
      <c r="E8" s="33">
        <f t="shared" si="0"/>
        <v>100</v>
      </c>
      <c r="F8" s="33">
        <f t="shared" si="1"/>
        <v>5</v>
      </c>
    </row>
    <row r="9" spans="1:11" ht="19.95" customHeight="1">
      <c r="A9" s="8">
        <v>7</v>
      </c>
      <c r="B9" s="124" t="s">
        <v>154</v>
      </c>
      <c r="C9" s="126"/>
      <c r="D9" s="126"/>
      <c r="E9" s="33">
        <f t="shared" si="0"/>
        <v>100</v>
      </c>
      <c r="F9" s="33">
        <f t="shared" si="1"/>
        <v>5</v>
      </c>
    </row>
    <row r="10" spans="1:11" ht="19.95" customHeight="1">
      <c r="A10" s="8">
        <v>8</v>
      </c>
      <c r="B10" s="124" t="s">
        <v>155</v>
      </c>
      <c r="C10" s="126">
        <v>1</v>
      </c>
      <c r="D10" s="126">
        <v>1</v>
      </c>
      <c r="E10" s="33">
        <f t="shared" si="0"/>
        <v>100</v>
      </c>
      <c r="F10" s="33">
        <f t="shared" si="1"/>
        <v>5</v>
      </c>
      <c r="K10" s="121"/>
    </row>
    <row r="11" spans="1:11" ht="19.95" customHeight="1">
      <c r="A11" s="8">
        <v>9</v>
      </c>
      <c r="B11" s="124" t="s">
        <v>156</v>
      </c>
      <c r="C11" s="126"/>
      <c r="D11" s="126"/>
      <c r="E11" s="33">
        <f t="shared" si="0"/>
        <v>100</v>
      </c>
      <c r="F11" s="33">
        <f t="shared" si="1"/>
        <v>5</v>
      </c>
    </row>
    <row r="12" spans="1:11" ht="19.95" customHeight="1">
      <c r="A12" s="8">
        <v>10</v>
      </c>
      <c r="B12" s="124" t="s">
        <v>157</v>
      </c>
      <c r="C12" s="126"/>
      <c r="D12" s="126"/>
      <c r="E12" s="33">
        <f t="shared" si="0"/>
        <v>100</v>
      </c>
      <c r="F12" s="33">
        <f t="shared" si="1"/>
        <v>5</v>
      </c>
    </row>
    <row r="13" spans="1:11" ht="19.95" customHeight="1">
      <c r="A13" s="8">
        <v>11</v>
      </c>
      <c r="B13" s="124" t="s">
        <v>158</v>
      </c>
      <c r="C13" s="126"/>
      <c r="D13" s="126"/>
      <c r="E13" s="33">
        <f t="shared" si="0"/>
        <v>100</v>
      </c>
      <c r="F13" s="33">
        <f t="shared" si="1"/>
        <v>5</v>
      </c>
    </row>
    <row r="14" spans="1:11" ht="19.95" customHeight="1">
      <c r="A14" s="8">
        <v>12</v>
      </c>
      <c r="B14" s="124" t="s">
        <v>159</v>
      </c>
      <c r="C14" s="126"/>
      <c r="D14" s="126"/>
      <c r="E14" s="33">
        <f t="shared" si="0"/>
        <v>100</v>
      </c>
      <c r="F14" s="33">
        <f t="shared" si="1"/>
        <v>5</v>
      </c>
    </row>
    <row r="15" spans="1:11" ht="19.95" customHeight="1">
      <c r="A15" s="8">
        <v>13</v>
      </c>
      <c r="B15" s="124" t="s">
        <v>160</v>
      </c>
      <c r="C15" s="126"/>
      <c r="D15" s="126"/>
      <c r="E15" s="33">
        <f t="shared" si="0"/>
        <v>100</v>
      </c>
      <c r="F15" s="33">
        <f t="shared" si="1"/>
        <v>5</v>
      </c>
    </row>
    <row r="16" spans="1:11" ht="19.95" customHeight="1">
      <c r="A16" s="8">
        <v>14</v>
      </c>
      <c r="B16" s="124" t="s">
        <v>161</v>
      </c>
      <c r="C16" s="126"/>
      <c r="D16" s="126"/>
      <c r="E16" s="33">
        <f t="shared" si="0"/>
        <v>100</v>
      </c>
      <c r="F16" s="33">
        <f t="shared" si="1"/>
        <v>5</v>
      </c>
    </row>
    <row r="17" spans="1:6" ht="19.95" customHeight="1">
      <c r="A17" s="8">
        <v>15</v>
      </c>
      <c r="B17" s="124" t="s">
        <v>162</v>
      </c>
      <c r="C17" s="126"/>
      <c r="D17" s="126"/>
      <c r="E17" s="33">
        <f t="shared" si="0"/>
        <v>100</v>
      </c>
      <c r="F17" s="33">
        <f t="shared" si="1"/>
        <v>5</v>
      </c>
    </row>
    <row r="18" spans="1:6" ht="19.95" customHeight="1">
      <c r="A18" s="8">
        <v>16</v>
      </c>
      <c r="B18" s="124" t="s">
        <v>163</v>
      </c>
      <c r="C18" s="126"/>
      <c r="D18" s="126"/>
      <c r="E18" s="33">
        <f t="shared" si="0"/>
        <v>100</v>
      </c>
      <c r="F18" s="33">
        <f t="shared" si="1"/>
        <v>5</v>
      </c>
    </row>
    <row r="19" spans="1:6" ht="19.95" customHeight="1">
      <c r="A19" s="8">
        <v>17</v>
      </c>
      <c r="B19" s="124" t="s">
        <v>164</v>
      </c>
      <c r="C19" s="126"/>
      <c r="D19" s="126"/>
      <c r="E19" s="33">
        <f t="shared" si="0"/>
        <v>100</v>
      </c>
      <c r="F19" s="33">
        <f t="shared" si="1"/>
        <v>5</v>
      </c>
    </row>
    <row r="20" spans="1:6" ht="19.95" customHeight="1">
      <c r="A20" s="8">
        <v>18</v>
      </c>
      <c r="B20" s="124" t="s">
        <v>165</v>
      </c>
      <c r="C20" s="126"/>
      <c r="D20" s="126"/>
      <c r="E20" s="33">
        <f t="shared" si="0"/>
        <v>100</v>
      </c>
      <c r="F20" s="33">
        <f t="shared" si="1"/>
        <v>5</v>
      </c>
    </row>
    <row r="21" spans="1:6" ht="19.95" customHeight="1">
      <c r="A21" s="8">
        <v>19</v>
      </c>
      <c r="B21" s="124" t="s">
        <v>166</v>
      </c>
      <c r="C21" s="126">
        <v>1</v>
      </c>
      <c r="D21" s="126">
        <v>1</v>
      </c>
      <c r="E21" s="33">
        <f t="shared" si="0"/>
        <v>100</v>
      </c>
      <c r="F21" s="33">
        <f t="shared" si="1"/>
        <v>5</v>
      </c>
    </row>
    <row r="22" spans="1:6" ht="19.95" customHeight="1">
      <c r="A22" s="8">
        <v>20</v>
      </c>
      <c r="B22" s="124" t="s">
        <v>167</v>
      </c>
      <c r="C22" s="126">
        <v>1</v>
      </c>
      <c r="D22" s="126">
        <v>1</v>
      </c>
      <c r="E22" s="33">
        <f t="shared" si="0"/>
        <v>100</v>
      </c>
      <c r="F22" s="33">
        <f t="shared" si="1"/>
        <v>5</v>
      </c>
    </row>
    <row r="23" spans="1:6" ht="19.95" customHeight="1">
      <c r="A23" s="8">
        <v>21</v>
      </c>
      <c r="B23" s="124" t="s">
        <v>168</v>
      </c>
      <c r="C23" s="126">
        <v>1</v>
      </c>
      <c r="D23" s="126">
        <v>1</v>
      </c>
      <c r="E23" s="33">
        <f t="shared" si="0"/>
        <v>100</v>
      </c>
      <c r="F23" s="33">
        <f t="shared" si="1"/>
        <v>5</v>
      </c>
    </row>
    <row r="24" spans="1:6" ht="19.95" customHeight="1">
      <c r="A24" s="8">
        <v>22</v>
      </c>
      <c r="B24" s="124" t="s">
        <v>169</v>
      </c>
      <c r="C24" s="126"/>
      <c r="D24" s="126"/>
      <c r="E24" s="33">
        <f t="shared" si="0"/>
        <v>100</v>
      </c>
      <c r="F24" s="33">
        <f t="shared" si="1"/>
        <v>5</v>
      </c>
    </row>
    <row r="25" spans="1:6" ht="19.95" customHeight="1">
      <c r="A25" s="8">
        <v>23</v>
      </c>
      <c r="B25" s="124" t="s">
        <v>170</v>
      </c>
      <c r="C25" s="126"/>
      <c r="D25" s="126"/>
      <c r="E25" s="33">
        <f t="shared" si="0"/>
        <v>100</v>
      </c>
      <c r="F25" s="33">
        <f t="shared" si="1"/>
        <v>5</v>
      </c>
    </row>
    <row r="26" spans="1:6" ht="19.95" customHeight="1">
      <c r="A26" s="8">
        <v>24</v>
      </c>
      <c r="B26" s="124" t="s">
        <v>171</v>
      </c>
      <c r="C26" s="126">
        <v>1</v>
      </c>
      <c r="D26" s="126">
        <v>1</v>
      </c>
      <c r="E26" s="33">
        <f t="shared" si="0"/>
        <v>100</v>
      </c>
      <c r="F26" s="33">
        <f t="shared" si="1"/>
        <v>5</v>
      </c>
    </row>
    <row r="27" spans="1:6" ht="19.95" customHeight="1">
      <c r="A27" s="8">
        <v>25</v>
      </c>
      <c r="B27" s="124" t="s">
        <v>172</v>
      </c>
      <c r="C27" s="126"/>
      <c r="D27" s="126"/>
      <c r="E27" s="33">
        <f t="shared" si="0"/>
        <v>100</v>
      </c>
      <c r="F27" s="33">
        <f t="shared" si="1"/>
        <v>5</v>
      </c>
    </row>
    <row r="28" spans="1:6" ht="19.95" customHeight="1">
      <c r="A28" s="8">
        <v>26</v>
      </c>
      <c r="B28" s="124" t="s">
        <v>173</v>
      </c>
      <c r="C28" s="126"/>
      <c r="D28" s="126"/>
      <c r="E28" s="33">
        <f t="shared" si="0"/>
        <v>100</v>
      </c>
      <c r="F28" s="33">
        <f t="shared" si="1"/>
        <v>5</v>
      </c>
    </row>
    <row r="29" spans="1:6" ht="19.95" customHeight="1">
      <c r="A29" s="8">
        <v>27</v>
      </c>
      <c r="B29" s="124" t="s">
        <v>174</v>
      </c>
      <c r="C29" s="126"/>
      <c r="D29" s="126"/>
      <c r="E29" s="33">
        <f t="shared" si="0"/>
        <v>100</v>
      </c>
      <c r="F29" s="33">
        <f t="shared" si="1"/>
        <v>5</v>
      </c>
    </row>
    <row r="30" spans="1:6" ht="19.95" customHeight="1">
      <c r="A30" s="8">
        <v>28</v>
      </c>
      <c r="B30" s="124" t="s">
        <v>175</v>
      </c>
      <c r="C30" s="126"/>
      <c r="D30" s="126"/>
      <c r="E30" s="33">
        <f t="shared" si="0"/>
        <v>100</v>
      </c>
      <c r="F30" s="33">
        <f t="shared" si="1"/>
        <v>5</v>
      </c>
    </row>
    <row r="31" spans="1:6" ht="19.95" customHeight="1">
      <c r="A31" s="8">
        <v>29</v>
      </c>
      <c r="B31" s="124" t="s">
        <v>176</v>
      </c>
      <c r="C31" s="126">
        <v>3</v>
      </c>
      <c r="D31" s="126">
        <v>1</v>
      </c>
      <c r="E31" s="33">
        <f t="shared" si="0"/>
        <v>33.333333333333336</v>
      </c>
      <c r="F31" s="33">
        <f t="shared" si="1"/>
        <v>1.666666666666667</v>
      </c>
    </row>
    <row r="32" spans="1:6" ht="19.95" customHeight="1">
      <c r="A32" s="8">
        <v>30</v>
      </c>
      <c r="B32" s="124" t="s">
        <v>177</v>
      </c>
      <c r="C32" s="126">
        <v>1</v>
      </c>
      <c r="D32" s="126">
        <v>0</v>
      </c>
      <c r="E32" s="33">
        <f t="shared" si="0"/>
        <v>0</v>
      </c>
      <c r="F32" s="33">
        <f t="shared" si="1"/>
        <v>0</v>
      </c>
    </row>
    <row r="33" spans="1:6" ht="19.95" customHeight="1">
      <c r="A33" s="8">
        <v>31</v>
      </c>
      <c r="B33" s="124" t="s">
        <v>178</v>
      </c>
      <c r="C33" s="126">
        <v>2</v>
      </c>
      <c r="D33" s="126">
        <v>2</v>
      </c>
      <c r="E33" s="33">
        <f t="shared" si="0"/>
        <v>100</v>
      </c>
      <c r="F33" s="33">
        <f t="shared" si="1"/>
        <v>5</v>
      </c>
    </row>
    <row r="34" spans="1:6" ht="19.95" customHeight="1">
      <c r="A34" s="8">
        <v>32</v>
      </c>
      <c r="B34" s="124" t="s">
        <v>179</v>
      </c>
      <c r="C34" s="126"/>
      <c r="D34" s="126"/>
      <c r="E34" s="33">
        <f t="shared" si="0"/>
        <v>100</v>
      </c>
      <c r="F34" s="33">
        <f t="shared" si="1"/>
        <v>5</v>
      </c>
    </row>
    <row r="35" spans="1:6" ht="19.95" customHeight="1">
      <c r="A35" s="8">
        <v>33</v>
      </c>
      <c r="B35" s="124" t="s">
        <v>180</v>
      </c>
      <c r="C35" s="126"/>
      <c r="D35" s="126"/>
      <c r="E35" s="33">
        <f t="shared" si="0"/>
        <v>100</v>
      </c>
      <c r="F35" s="33">
        <f t="shared" si="1"/>
        <v>5</v>
      </c>
    </row>
    <row r="36" spans="1:6" ht="20.100000000000001" hidden="1" customHeight="1">
      <c r="A36" s="249" t="s">
        <v>137</v>
      </c>
      <c r="B36" s="249"/>
      <c r="C36" s="63"/>
      <c r="D36" s="63"/>
      <c r="E36" s="33">
        <f t="shared" si="0"/>
        <v>100</v>
      </c>
      <c r="F36" s="127">
        <v>0</v>
      </c>
    </row>
  </sheetData>
  <mergeCells count="2">
    <mergeCell ref="A1:F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95" fitToHeight="0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9B4B-FDA0-4AD1-8719-6C39F6F38B7D}">
  <sheetPr>
    <tabColor rgb="FFFFC000"/>
    <pageSetUpPr fitToPage="1"/>
  </sheetPr>
  <dimension ref="A1:I36"/>
  <sheetViews>
    <sheetView workbookViewId="0">
      <pane ySplit="2" topLeftCell="A3" activePane="bottomLeft" state="frozen"/>
      <selection pane="bottomLeft" activeCell="B3" sqref="B3:C3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13" customWidth="1"/>
  </cols>
  <sheetData>
    <row r="1" spans="1:9" ht="25.35" customHeight="1">
      <c r="A1" s="226" t="s">
        <v>182</v>
      </c>
      <c r="B1" s="206"/>
      <c r="C1" s="206"/>
      <c r="D1" s="206"/>
    </row>
    <row r="2" spans="1:9" ht="31.2">
      <c r="A2" s="117" t="s">
        <v>12</v>
      </c>
      <c r="B2" s="118" t="s">
        <v>1</v>
      </c>
      <c r="C2" s="119" t="s">
        <v>6</v>
      </c>
      <c r="D2" s="120" t="s">
        <v>183</v>
      </c>
    </row>
    <row r="3" spans="1:9" ht="18" customHeight="1">
      <c r="A3" s="8">
        <v>1</v>
      </c>
      <c r="B3" s="124" t="s">
        <v>148</v>
      </c>
      <c r="C3" s="33">
        <v>0</v>
      </c>
      <c r="D3" s="33">
        <v>0</v>
      </c>
    </row>
    <row r="4" spans="1:9" ht="18" customHeight="1">
      <c r="A4" s="8">
        <v>2</v>
      </c>
      <c r="B4" s="124" t="s">
        <v>149</v>
      </c>
      <c r="C4" s="33">
        <v>0</v>
      </c>
      <c r="D4" s="33">
        <v>0</v>
      </c>
    </row>
    <row r="5" spans="1:9" ht="18" customHeight="1">
      <c r="A5" s="8">
        <v>3</v>
      </c>
      <c r="B5" s="124" t="s">
        <v>150</v>
      </c>
      <c r="C5" s="33">
        <v>0</v>
      </c>
      <c r="D5" s="33">
        <v>0</v>
      </c>
    </row>
    <row r="6" spans="1:9" ht="18" customHeight="1">
      <c r="A6" s="8">
        <v>4</v>
      </c>
      <c r="B6" s="124" t="s">
        <v>151</v>
      </c>
      <c r="C6" s="33">
        <v>0</v>
      </c>
      <c r="D6" s="33">
        <v>0</v>
      </c>
    </row>
    <row r="7" spans="1:9" ht="18" customHeight="1">
      <c r="A7" s="8">
        <v>5</v>
      </c>
      <c r="B7" s="124" t="s">
        <v>152</v>
      </c>
      <c r="C7" s="33">
        <v>0</v>
      </c>
      <c r="D7" s="33">
        <v>0</v>
      </c>
    </row>
    <row r="8" spans="1:9" ht="18" customHeight="1">
      <c r="A8" s="8">
        <v>6</v>
      </c>
      <c r="B8" s="124" t="s">
        <v>153</v>
      </c>
      <c r="C8" s="33">
        <v>0</v>
      </c>
      <c r="D8" s="33">
        <v>0</v>
      </c>
    </row>
    <row r="9" spans="1:9" ht="18" customHeight="1">
      <c r="A9" s="8">
        <v>7</v>
      </c>
      <c r="B9" s="124" t="s">
        <v>154</v>
      </c>
      <c r="C9" s="33">
        <v>0</v>
      </c>
      <c r="D9" s="33">
        <v>0</v>
      </c>
    </row>
    <row r="10" spans="1:9" ht="18" customHeight="1">
      <c r="A10" s="8">
        <v>8</v>
      </c>
      <c r="B10" s="124" t="s">
        <v>155</v>
      </c>
      <c r="C10" s="33">
        <v>0</v>
      </c>
      <c r="D10" s="33">
        <v>0</v>
      </c>
      <c r="I10" s="121"/>
    </row>
    <row r="11" spans="1:9" ht="18" customHeight="1">
      <c r="A11" s="8">
        <v>9</v>
      </c>
      <c r="B11" s="124" t="s">
        <v>156</v>
      </c>
      <c r="C11" s="33">
        <v>0</v>
      </c>
      <c r="D11" s="33">
        <v>0</v>
      </c>
    </row>
    <row r="12" spans="1:9" ht="18" customHeight="1">
      <c r="A12" s="8">
        <v>10</v>
      </c>
      <c r="B12" s="124" t="s">
        <v>157</v>
      </c>
      <c r="C12" s="33">
        <v>0</v>
      </c>
      <c r="D12" s="33">
        <v>0</v>
      </c>
    </row>
    <row r="13" spans="1:9" ht="18" customHeight="1">
      <c r="A13" s="8">
        <v>11</v>
      </c>
      <c r="B13" s="124" t="s">
        <v>158</v>
      </c>
      <c r="C13" s="33">
        <v>0</v>
      </c>
      <c r="D13" s="33">
        <v>0</v>
      </c>
    </row>
    <row r="14" spans="1:9" ht="18" customHeight="1">
      <c r="A14" s="8">
        <v>12</v>
      </c>
      <c r="B14" s="124" t="s">
        <v>159</v>
      </c>
      <c r="C14" s="33">
        <v>0</v>
      </c>
      <c r="D14" s="33">
        <v>0</v>
      </c>
    </row>
    <row r="15" spans="1:9" ht="18" customHeight="1">
      <c r="A15" s="8">
        <v>13</v>
      </c>
      <c r="B15" s="124" t="s">
        <v>160</v>
      </c>
      <c r="C15" s="33">
        <v>0</v>
      </c>
      <c r="D15" s="33">
        <v>0</v>
      </c>
    </row>
    <row r="16" spans="1:9" ht="18" customHeight="1">
      <c r="A16" s="8">
        <v>14</v>
      </c>
      <c r="B16" s="124" t="s">
        <v>161</v>
      </c>
      <c r="C16" s="33">
        <v>0</v>
      </c>
      <c r="D16" s="33">
        <v>0</v>
      </c>
    </row>
    <row r="17" spans="1:4" ht="18" customHeight="1">
      <c r="A17" s="8">
        <v>15</v>
      </c>
      <c r="B17" s="124" t="s">
        <v>162</v>
      </c>
      <c r="C17" s="33">
        <v>0</v>
      </c>
      <c r="D17" s="33">
        <v>0</v>
      </c>
    </row>
    <row r="18" spans="1:4" ht="18" customHeight="1">
      <c r="A18" s="8">
        <v>16</v>
      </c>
      <c r="B18" s="124" t="s">
        <v>163</v>
      </c>
      <c r="C18" s="33">
        <v>0</v>
      </c>
      <c r="D18" s="33">
        <v>0</v>
      </c>
    </row>
    <row r="19" spans="1:4" ht="18" customHeight="1">
      <c r="A19" s="8">
        <v>17</v>
      </c>
      <c r="B19" s="124" t="s">
        <v>164</v>
      </c>
      <c r="C19" s="33">
        <v>0</v>
      </c>
      <c r="D19" s="33">
        <v>0</v>
      </c>
    </row>
    <row r="20" spans="1:4" ht="18" customHeight="1">
      <c r="A20" s="8">
        <v>18</v>
      </c>
      <c r="B20" s="124" t="s">
        <v>165</v>
      </c>
      <c r="C20" s="33">
        <v>0</v>
      </c>
      <c r="D20" s="33">
        <v>0</v>
      </c>
    </row>
    <row r="21" spans="1:4" ht="18" customHeight="1">
      <c r="A21" s="8">
        <v>19</v>
      </c>
      <c r="B21" s="124" t="s">
        <v>166</v>
      </c>
      <c r="C21" s="33">
        <v>0</v>
      </c>
      <c r="D21" s="33">
        <v>0</v>
      </c>
    </row>
    <row r="22" spans="1:4" ht="18" customHeight="1">
      <c r="A22" s="8">
        <v>20</v>
      </c>
      <c r="B22" s="124" t="s">
        <v>167</v>
      </c>
      <c r="C22" s="33">
        <v>0</v>
      </c>
      <c r="D22" s="33">
        <v>0</v>
      </c>
    </row>
    <row r="23" spans="1:4" ht="18" customHeight="1">
      <c r="A23" s="8">
        <v>21</v>
      </c>
      <c r="B23" s="124" t="s">
        <v>168</v>
      </c>
      <c r="C23" s="33">
        <v>0</v>
      </c>
      <c r="D23" s="33">
        <v>0</v>
      </c>
    </row>
    <row r="24" spans="1:4" ht="18" customHeight="1">
      <c r="A24" s="8">
        <v>22</v>
      </c>
      <c r="B24" s="124" t="s">
        <v>169</v>
      </c>
      <c r="C24" s="33">
        <v>0</v>
      </c>
      <c r="D24" s="33">
        <v>0</v>
      </c>
    </row>
    <row r="25" spans="1:4" ht="18" customHeight="1">
      <c r="A25" s="8">
        <v>23</v>
      </c>
      <c r="B25" s="124" t="s">
        <v>170</v>
      </c>
      <c r="C25" s="33">
        <v>0</v>
      </c>
      <c r="D25" s="33">
        <v>0</v>
      </c>
    </row>
    <row r="26" spans="1:4" ht="18" customHeight="1">
      <c r="A26" s="8">
        <v>24</v>
      </c>
      <c r="B26" s="124" t="s">
        <v>171</v>
      </c>
      <c r="C26" s="33">
        <v>0</v>
      </c>
      <c r="D26" s="33">
        <v>0</v>
      </c>
    </row>
    <row r="27" spans="1:4" ht="18" customHeight="1">
      <c r="A27" s="8">
        <v>25</v>
      </c>
      <c r="B27" s="124" t="s">
        <v>172</v>
      </c>
      <c r="C27" s="33">
        <v>0</v>
      </c>
      <c r="D27" s="33">
        <v>0</v>
      </c>
    </row>
    <row r="28" spans="1:4" ht="18" customHeight="1">
      <c r="A28" s="8">
        <v>26</v>
      </c>
      <c r="B28" s="124" t="s">
        <v>173</v>
      </c>
      <c r="C28" s="33">
        <v>0</v>
      </c>
      <c r="D28" s="33">
        <v>0</v>
      </c>
    </row>
    <row r="29" spans="1:4" ht="18" customHeight="1">
      <c r="A29" s="8">
        <v>27</v>
      </c>
      <c r="B29" s="124" t="s">
        <v>174</v>
      </c>
      <c r="C29" s="33">
        <v>0</v>
      </c>
      <c r="D29" s="33">
        <v>0</v>
      </c>
    </row>
    <row r="30" spans="1:4" ht="18" customHeight="1">
      <c r="A30" s="8">
        <v>28</v>
      </c>
      <c r="B30" s="124" t="s">
        <v>175</v>
      </c>
      <c r="C30" s="33">
        <v>0</v>
      </c>
      <c r="D30" s="33">
        <v>0</v>
      </c>
    </row>
    <row r="31" spans="1:4" ht="18" customHeight="1">
      <c r="A31" s="8">
        <v>29</v>
      </c>
      <c r="B31" s="124" t="s">
        <v>176</v>
      </c>
      <c r="C31" s="33">
        <v>0</v>
      </c>
      <c r="D31" s="33">
        <v>0</v>
      </c>
    </row>
    <row r="32" spans="1:4" ht="18" customHeight="1">
      <c r="A32" s="8">
        <v>30</v>
      </c>
      <c r="B32" s="124" t="s">
        <v>177</v>
      </c>
      <c r="C32" s="33">
        <v>0</v>
      </c>
      <c r="D32" s="33">
        <v>0</v>
      </c>
    </row>
    <row r="33" spans="1:4" ht="18" customHeight="1">
      <c r="A33" s="8">
        <v>31</v>
      </c>
      <c r="B33" s="124" t="s">
        <v>178</v>
      </c>
      <c r="C33" s="33">
        <v>0</v>
      </c>
      <c r="D33" s="33">
        <v>0</v>
      </c>
    </row>
    <row r="34" spans="1:4" ht="18" customHeight="1">
      <c r="A34" s="8">
        <v>32</v>
      </c>
      <c r="B34" s="124" t="s">
        <v>179</v>
      </c>
      <c r="C34" s="33">
        <v>0</v>
      </c>
      <c r="D34" s="33">
        <v>0</v>
      </c>
    </row>
    <row r="35" spans="1:4" ht="18" customHeight="1">
      <c r="A35" s="8">
        <v>33</v>
      </c>
      <c r="B35" s="124" t="s">
        <v>180</v>
      </c>
      <c r="C35" s="33">
        <v>0</v>
      </c>
      <c r="D35" s="33">
        <v>0</v>
      </c>
    </row>
    <row r="36" spans="1:4" ht="20.100000000000001" hidden="1" customHeight="1">
      <c r="A36" s="248" t="s">
        <v>137</v>
      </c>
      <c r="B36" s="248"/>
      <c r="C36" s="122"/>
      <c r="D36" s="123">
        <v>0</v>
      </c>
    </row>
  </sheetData>
  <mergeCells count="2">
    <mergeCell ref="A1:D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F4CB-C6F2-4E92-8CB6-15AE88749E5C}">
  <sheetPr>
    <tabColor rgb="FF7030A0"/>
    <pageSetUpPr fitToPage="1"/>
  </sheetPr>
  <dimension ref="A1:I36"/>
  <sheetViews>
    <sheetView workbookViewId="0">
      <pane ySplit="2" topLeftCell="A3" activePane="bottomLeft" state="frozen"/>
      <selection pane="bottomLeft" activeCell="E41" sqref="E41"/>
    </sheetView>
  </sheetViews>
  <sheetFormatPr defaultRowHeight="14.4"/>
  <cols>
    <col min="1" max="1" width="5" bestFit="1" customWidth="1"/>
    <col min="2" max="2" width="22.44140625" customWidth="1"/>
    <col min="3" max="3" width="23" customWidth="1"/>
    <col min="4" max="4" width="22.109375" style="13" customWidth="1"/>
  </cols>
  <sheetData>
    <row r="1" spans="1:9" ht="25.35" customHeight="1">
      <c r="A1" s="226" t="s">
        <v>184</v>
      </c>
      <c r="B1" s="206"/>
      <c r="C1" s="206"/>
      <c r="D1" s="206"/>
    </row>
    <row r="2" spans="1:9" ht="31.2">
      <c r="A2" s="117" t="s">
        <v>12</v>
      </c>
      <c r="B2" s="118" t="s">
        <v>1</v>
      </c>
      <c r="C2" s="119" t="s">
        <v>6</v>
      </c>
      <c r="D2" s="120" t="s">
        <v>183</v>
      </c>
    </row>
    <row r="3" spans="1:9" ht="18" customHeight="1">
      <c r="A3" s="8">
        <v>1</v>
      </c>
      <c r="B3" s="124" t="s">
        <v>148</v>
      </c>
      <c r="C3" s="33">
        <v>0</v>
      </c>
      <c r="D3" s="33">
        <v>0</v>
      </c>
    </row>
    <row r="4" spans="1:9" ht="18" customHeight="1">
      <c r="A4" s="8">
        <v>2</v>
      </c>
      <c r="B4" s="124" t="s">
        <v>149</v>
      </c>
      <c r="C4" s="33">
        <v>0</v>
      </c>
      <c r="D4" s="33">
        <v>0</v>
      </c>
    </row>
    <row r="5" spans="1:9" ht="18" customHeight="1">
      <c r="A5" s="8">
        <v>3</v>
      </c>
      <c r="B5" s="124" t="s">
        <v>150</v>
      </c>
      <c r="C5" s="33">
        <v>0</v>
      </c>
      <c r="D5" s="33">
        <v>0</v>
      </c>
    </row>
    <row r="6" spans="1:9" ht="18" customHeight="1">
      <c r="A6" s="8">
        <v>4</v>
      </c>
      <c r="B6" s="124" t="s">
        <v>151</v>
      </c>
      <c r="C6" s="33">
        <v>0</v>
      </c>
      <c r="D6" s="33">
        <v>0</v>
      </c>
    </row>
    <row r="7" spans="1:9" ht="18" customHeight="1">
      <c r="A7" s="8">
        <v>5</v>
      </c>
      <c r="B7" s="124" t="s">
        <v>152</v>
      </c>
      <c r="C7" s="33">
        <v>0</v>
      </c>
      <c r="D7" s="33">
        <v>0</v>
      </c>
    </row>
    <row r="8" spans="1:9" ht="18" customHeight="1">
      <c r="A8" s="8">
        <v>6</v>
      </c>
      <c r="B8" s="124" t="s">
        <v>153</v>
      </c>
      <c r="C8" s="33">
        <v>0</v>
      </c>
      <c r="D8" s="33">
        <v>0</v>
      </c>
    </row>
    <row r="9" spans="1:9" ht="18" customHeight="1">
      <c r="A9" s="8">
        <v>7</v>
      </c>
      <c r="B9" s="124" t="s">
        <v>154</v>
      </c>
      <c r="C9" s="33">
        <v>0</v>
      </c>
      <c r="D9" s="33">
        <v>0</v>
      </c>
    </row>
    <row r="10" spans="1:9" ht="18" customHeight="1">
      <c r="A10" s="8">
        <v>8</v>
      </c>
      <c r="B10" s="124" t="s">
        <v>155</v>
      </c>
      <c r="C10" s="33">
        <v>0</v>
      </c>
      <c r="D10" s="33">
        <v>0</v>
      </c>
      <c r="I10" s="121"/>
    </row>
    <row r="11" spans="1:9" ht="18" customHeight="1">
      <c r="A11" s="8">
        <v>9</v>
      </c>
      <c r="B11" s="124" t="s">
        <v>156</v>
      </c>
      <c r="C11" s="33">
        <v>0</v>
      </c>
      <c r="D11" s="33">
        <v>0</v>
      </c>
    </row>
    <row r="12" spans="1:9" ht="18" customHeight="1">
      <c r="A12" s="8">
        <v>10</v>
      </c>
      <c r="B12" s="124" t="s">
        <v>157</v>
      </c>
      <c r="C12" s="33">
        <v>0</v>
      </c>
      <c r="D12" s="33">
        <v>0</v>
      </c>
    </row>
    <row r="13" spans="1:9" ht="18" customHeight="1">
      <c r="A13" s="8">
        <v>11</v>
      </c>
      <c r="B13" s="124" t="s">
        <v>158</v>
      </c>
      <c r="C13" s="33">
        <v>0</v>
      </c>
      <c r="D13" s="33">
        <v>0</v>
      </c>
    </row>
    <row r="14" spans="1:9" ht="18" customHeight="1">
      <c r="A14" s="8">
        <v>12</v>
      </c>
      <c r="B14" s="124" t="s">
        <v>159</v>
      </c>
      <c r="C14" s="33">
        <v>0</v>
      </c>
      <c r="D14" s="33">
        <v>0</v>
      </c>
    </row>
    <row r="15" spans="1:9" ht="18" customHeight="1">
      <c r="A15" s="8">
        <v>13</v>
      </c>
      <c r="B15" s="124" t="s">
        <v>160</v>
      </c>
      <c r="C15" s="33">
        <v>0</v>
      </c>
      <c r="D15" s="33">
        <v>0</v>
      </c>
    </row>
    <row r="16" spans="1:9" ht="18" customHeight="1">
      <c r="A16" s="8">
        <v>14</v>
      </c>
      <c r="B16" s="124" t="s">
        <v>161</v>
      </c>
      <c r="C16" s="33">
        <v>0</v>
      </c>
      <c r="D16" s="33">
        <v>0</v>
      </c>
    </row>
    <row r="17" spans="1:4" ht="18" customHeight="1">
      <c r="A17" s="8">
        <v>15</v>
      </c>
      <c r="B17" s="124" t="s">
        <v>162</v>
      </c>
      <c r="C17" s="33">
        <v>0</v>
      </c>
      <c r="D17" s="33">
        <v>0</v>
      </c>
    </row>
    <row r="18" spans="1:4" ht="18" customHeight="1">
      <c r="A18" s="8">
        <v>16</v>
      </c>
      <c r="B18" s="124" t="s">
        <v>163</v>
      </c>
      <c r="C18" s="33">
        <v>0</v>
      </c>
      <c r="D18" s="33">
        <v>0</v>
      </c>
    </row>
    <row r="19" spans="1:4" ht="18" customHeight="1">
      <c r="A19" s="8">
        <v>17</v>
      </c>
      <c r="B19" s="124" t="s">
        <v>164</v>
      </c>
      <c r="C19" s="33">
        <v>0</v>
      </c>
      <c r="D19" s="33">
        <v>0</v>
      </c>
    </row>
    <row r="20" spans="1:4" ht="18" customHeight="1">
      <c r="A20" s="8">
        <v>18</v>
      </c>
      <c r="B20" s="124" t="s">
        <v>165</v>
      </c>
      <c r="C20" s="33">
        <v>0</v>
      </c>
      <c r="D20" s="33">
        <v>0</v>
      </c>
    </row>
    <row r="21" spans="1:4" ht="18" customHeight="1">
      <c r="A21" s="8">
        <v>19</v>
      </c>
      <c r="B21" s="124" t="s">
        <v>166</v>
      </c>
      <c r="C21" s="33">
        <v>0</v>
      </c>
      <c r="D21" s="33">
        <v>0</v>
      </c>
    </row>
    <row r="22" spans="1:4" ht="18" customHeight="1">
      <c r="A22" s="8">
        <v>20</v>
      </c>
      <c r="B22" s="124" t="s">
        <v>167</v>
      </c>
      <c r="C22" s="33">
        <v>0</v>
      </c>
      <c r="D22" s="33">
        <v>0</v>
      </c>
    </row>
    <row r="23" spans="1:4" ht="18" customHeight="1">
      <c r="A23" s="8">
        <v>21</v>
      </c>
      <c r="B23" s="124" t="s">
        <v>168</v>
      </c>
      <c r="C23" s="33">
        <v>0</v>
      </c>
      <c r="D23" s="33">
        <v>0</v>
      </c>
    </row>
    <row r="24" spans="1:4" ht="18" customHeight="1">
      <c r="A24" s="8">
        <v>22</v>
      </c>
      <c r="B24" s="124" t="s">
        <v>169</v>
      </c>
      <c r="C24" s="33">
        <v>0</v>
      </c>
      <c r="D24" s="33">
        <v>0</v>
      </c>
    </row>
    <row r="25" spans="1:4" ht="18" customHeight="1">
      <c r="A25" s="8">
        <v>23</v>
      </c>
      <c r="B25" s="124" t="s">
        <v>170</v>
      </c>
      <c r="C25" s="33">
        <v>0</v>
      </c>
      <c r="D25" s="33">
        <v>0</v>
      </c>
    </row>
    <row r="26" spans="1:4" ht="18" customHeight="1">
      <c r="A26" s="8">
        <v>24</v>
      </c>
      <c r="B26" s="124" t="s">
        <v>171</v>
      </c>
      <c r="C26" s="33">
        <v>0</v>
      </c>
      <c r="D26" s="33">
        <v>0</v>
      </c>
    </row>
    <row r="27" spans="1:4" ht="18" customHeight="1">
      <c r="A27" s="8">
        <v>25</v>
      </c>
      <c r="B27" s="124" t="s">
        <v>172</v>
      </c>
      <c r="C27" s="33">
        <v>0</v>
      </c>
      <c r="D27" s="33">
        <v>0</v>
      </c>
    </row>
    <row r="28" spans="1:4" ht="18" customHeight="1">
      <c r="A28" s="8">
        <v>26</v>
      </c>
      <c r="B28" s="124" t="s">
        <v>173</v>
      </c>
      <c r="C28" s="33">
        <v>0</v>
      </c>
      <c r="D28" s="33">
        <v>0</v>
      </c>
    </row>
    <row r="29" spans="1:4" ht="18" customHeight="1">
      <c r="A29" s="8">
        <v>27</v>
      </c>
      <c r="B29" s="124" t="s">
        <v>174</v>
      </c>
      <c r="C29" s="33">
        <v>0</v>
      </c>
      <c r="D29" s="33">
        <v>0</v>
      </c>
    </row>
    <row r="30" spans="1:4" ht="18" customHeight="1">
      <c r="A30" s="8">
        <v>28</v>
      </c>
      <c r="B30" s="124" t="s">
        <v>175</v>
      </c>
      <c r="C30" s="33">
        <v>0</v>
      </c>
      <c r="D30" s="33">
        <v>0</v>
      </c>
    </row>
    <row r="31" spans="1:4" ht="18" customHeight="1">
      <c r="A31" s="8">
        <v>29</v>
      </c>
      <c r="B31" s="124" t="s">
        <v>176</v>
      </c>
      <c r="C31" s="33">
        <v>0</v>
      </c>
      <c r="D31" s="33">
        <v>0</v>
      </c>
    </row>
    <row r="32" spans="1:4" ht="18" customHeight="1">
      <c r="A32" s="8">
        <v>30</v>
      </c>
      <c r="B32" s="124" t="s">
        <v>177</v>
      </c>
      <c r="C32" s="33">
        <v>0</v>
      </c>
      <c r="D32" s="33">
        <v>0</v>
      </c>
    </row>
    <row r="33" spans="1:4" ht="18" customHeight="1">
      <c r="A33" s="8">
        <v>31</v>
      </c>
      <c r="B33" s="124" t="s">
        <v>178</v>
      </c>
      <c r="C33" s="33">
        <v>0</v>
      </c>
      <c r="D33" s="33">
        <v>0</v>
      </c>
    </row>
    <row r="34" spans="1:4" ht="18" customHeight="1">
      <c r="A34" s="8">
        <v>32</v>
      </c>
      <c r="B34" s="124" t="s">
        <v>179</v>
      </c>
      <c r="C34" s="33">
        <v>0</v>
      </c>
      <c r="D34" s="33">
        <v>0</v>
      </c>
    </row>
    <row r="35" spans="1:4" ht="18" customHeight="1">
      <c r="A35" s="8">
        <v>33</v>
      </c>
      <c r="B35" s="124" t="s">
        <v>180</v>
      </c>
      <c r="C35" s="33">
        <v>0</v>
      </c>
      <c r="D35" s="33">
        <v>0</v>
      </c>
    </row>
    <row r="36" spans="1:4" ht="20.100000000000001" hidden="1" customHeight="1">
      <c r="A36" s="248" t="s">
        <v>137</v>
      </c>
      <c r="B36" s="248"/>
      <c r="C36" s="122"/>
      <c r="D36" s="123">
        <v>0</v>
      </c>
    </row>
  </sheetData>
  <mergeCells count="2">
    <mergeCell ref="A1:D1"/>
    <mergeCell ref="A36:B36"/>
  </mergeCells>
  <printOptions horizontalCentered="1"/>
  <pageMargins left="0.51181102362204722" right="0.51181102362204722" top="0.74803149606299213" bottom="0.74803149606299213" header="0.31496062992125984" footer="0.31496062992125984"/>
  <pageSetup paperSize="9" fitToHeight="0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5627-AC69-4E10-A0CC-378759EE8F08}">
  <sheetPr codeName="Sheet37">
    <tabColor rgb="FF00B0F0"/>
    <pageSetUpPr fitToPage="1"/>
  </sheetPr>
  <dimension ref="A1:Y35"/>
  <sheetViews>
    <sheetView workbookViewId="0">
      <pane ySplit="2" topLeftCell="A15" activePane="bottomLeft" state="frozen"/>
      <selection pane="bottomLeft" activeCell="A16" sqref="A16:XFD16"/>
    </sheetView>
  </sheetViews>
  <sheetFormatPr defaultRowHeight="14.4"/>
  <cols>
    <col min="1" max="1" width="23.5546875" customWidth="1"/>
    <col min="2" max="25" width="7" style="13" customWidth="1"/>
  </cols>
  <sheetData>
    <row r="1" spans="1:25" ht="84.6" customHeight="1">
      <c r="A1" s="128" t="s">
        <v>222</v>
      </c>
      <c r="B1" s="129" t="s">
        <v>223</v>
      </c>
      <c r="C1" s="129" t="s">
        <v>224</v>
      </c>
      <c r="D1" s="129" t="s">
        <v>225</v>
      </c>
      <c r="E1" s="129" t="s">
        <v>226</v>
      </c>
      <c r="F1" s="129" t="s">
        <v>227</v>
      </c>
      <c r="G1" s="130" t="s">
        <v>228</v>
      </c>
      <c r="H1" s="129" t="s">
        <v>229</v>
      </c>
      <c r="I1" s="129" t="s">
        <v>230</v>
      </c>
      <c r="J1" s="129" t="s">
        <v>231</v>
      </c>
      <c r="K1" s="129" t="s">
        <v>232</v>
      </c>
      <c r="L1" s="129" t="s">
        <v>233</v>
      </c>
      <c r="M1" s="129" t="s">
        <v>234</v>
      </c>
      <c r="N1" s="129" t="s">
        <v>235</v>
      </c>
      <c r="O1" s="129" t="s">
        <v>236</v>
      </c>
      <c r="P1" s="129" t="s">
        <v>237</v>
      </c>
      <c r="Q1" s="129" t="s">
        <v>238</v>
      </c>
      <c r="R1" s="129" t="s">
        <v>239</v>
      </c>
      <c r="S1" s="129" t="s">
        <v>240</v>
      </c>
      <c r="T1" s="129" t="s">
        <v>241</v>
      </c>
      <c r="U1" s="129" t="s">
        <v>242</v>
      </c>
      <c r="V1" s="129" t="s">
        <v>243</v>
      </c>
      <c r="W1" s="129" t="s">
        <v>245</v>
      </c>
      <c r="X1" s="129" t="s">
        <v>246</v>
      </c>
      <c r="Y1" s="129" t="s">
        <v>247</v>
      </c>
    </row>
    <row r="2" spans="1:25" ht="13.8" customHeight="1">
      <c r="A2" s="131" t="s">
        <v>244</v>
      </c>
      <c r="B2" s="136">
        <v>2.5000000000000001E-2</v>
      </c>
      <c r="C2" s="136">
        <v>2.5000000000000001E-2</v>
      </c>
      <c r="D2" s="137">
        <v>0.05</v>
      </c>
      <c r="E2" s="136">
        <v>2.5000000000000001E-2</v>
      </c>
      <c r="F2" s="136">
        <v>2.5000000000000001E-2</v>
      </c>
      <c r="G2" s="136">
        <v>2.5000000000000001E-2</v>
      </c>
      <c r="H2" s="136">
        <v>2.5000000000000001E-2</v>
      </c>
      <c r="I2" s="137">
        <v>0.05</v>
      </c>
      <c r="J2" s="137">
        <v>0.05</v>
      </c>
      <c r="K2" s="137">
        <v>0.05</v>
      </c>
      <c r="L2" s="137">
        <v>0.05</v>
      </c>
      <c r="M2" s="137">
        <v>0.05</v>
      </c>
      <c r="N2" s="137">
        <v>0.05</v>
      </c>
      <c r="O2" s="137">
        <v>0.05</v>
      </c>
      <c r="P2" s="137">
        <v>0.05</v>
      </c>
      <c r="Q2" s="137">
        <v>0.05</v>
      </c>
      <c r="R2" s="137">
        <v>0.05</v>
      </c>
      <c r="S2" s="137">
        <v>0.05</v>
      </c>
      <c r="T2" s="137">
        <v>0.05</v>
      </c>
      <c r="U2" s="137">
        <v>0.05</v>
      </c>
      <c r="V2" s="137">
        <v>0.05</v>
      </c>
      <c r="W2" s="137">
        <v>0.05</v>
      </c>
      <c r="X2" s="136">
        <v>2.5000000000000001E-2</v>
      </c>
      <c r="Y2" s="136">
        <v>2.5000000000000001E-2</v>
      </c>
    </row>
    <row r="3" spans="1:25" s="17" customFormat="1" ht="25.95" customHeight="1">
      <c r="A3" s="124" t="s">
        <v>148</v>
      </c>
      <c r="B3" s="132" t="str">
        <f>VLOOKUP(A3,'1_MEDLEAPR_PME'!B:H,6,0)</f>
        <v>100.00</v>
      </c>
      <c r="C3" s="132" t="str">
        <f>VLOOKUP(A3,'2_MEDLEAPR_MLC'!B:I,6,0)</f>
        <v>100.00</v>
      </c>
      <c r="D3" s="132">
        <f>VLOOKUP(A3,'3_NATGRID'!B:H,6,0)</f>
        <v>0</v>
      </c>
      <c r="E3" s="132">
        <f>VLOOKUP(A3,'4_DGP_DASH'!B:E,3,0)</f>
        <v>100</v>
      </c>
      <c r="F3" s="132">
        <f>VLOOKUP(A3,'5_CCTNS_TILL'!B:P,13,0)</f>
        <v>100</v>
      </c>
      <c r="G3" s="132">
        <f>VLOOKUP(A3,'6_CCTNS_1_7'!B:P,13,0)</f>
        <v>50</v>
      </c>
      <c r="H3" s="132">
        <f>VLOOKUP(A3,'7_CCTNS_8_15'!B:M,11,0)</f>
        <v>0</v>
      </c>
      <c r="I3" s="132">
        <f>VLOOKUP(A3,'8_ZERO_FIRS'!B:H,6,0)</f>
        <v>100</v>
      </c>
      <c r="J3" s="132">
        <f>VLOOKUP(A3,'9_CITIZEN_PORTAL'!B:H,6,0)</f>
        <v>100</v>
      </c>
      <c r="K3" s="132">
        <f>VLOOKUP(A3,'10_ESAKSHYA'!B:L,6,0)</f>
        <v>100</v>
      </c>
      <c r="L3" s="132">
        <f>VLOOKUP(A3,'11_CRIMAC'!B:F,4,0)</f>
        <v>100</v>
      </c>
      <c r="M3" s="132">
        <f>VLOOKUP(A3,'12_CEIR'!B:L,10,0)</f>
        <v>52.499999999999993</v>
      </c>
      <c r="N3" s="132">
        <f>VLOOKUP(A3,'13_EPROSEC'!B:H,4,0)</f>
        <v>100</v>
      </c>
      <c r="O3" s="132">
        <f>VLOOKUP(A3,'14_FIR_CS_COURT'!B:L,11,0)</f>
        <v>77.371246768741301</v>
      </c>
      <c r="P3" s="132">
        <f>VLOOKUP(A3,'15_EOFFICE'!B:K,9,0)</f>
        <v>100</v>
      </c>
      <c r="Q3" s="132">
        <f>VLOOKUP(A3,'16_APOLIS'!B:K,10,0)</f>
        <v>63.63636363636364</v>
      </c>
      <c r="R3" s="132">
        <f>VLOOKUP(A3,'17_DRONE_FLYING'!B:J,9,0)</f>
        <v>50</v>
      </c>
      <c r="S3" s="132">
        <f>VLOOKUP(A3,'18_112_TABS'!B:H,6,0)</f>
        <v>100</v>
      </c>
      <c r="T3" s="132">
        <f>VLOOKUP(A3,'19_DIAL100_RES'!B:H,6,0)</f>
        <v>96.371882086167801</v>
      </c>
      <c r="U3" s="132">
        <f>VLOOKUP(A3,'20_CCTV_360'!B:S,17,0)</f>
        <v>42.857142857142854</v>
      </c>
      <c r="V3" s="132">
        <f>VLOOKUP(A3,'21_NEWS360AI'!B:D,2,0)</f>
        <v>0</v>
      </c>
      <c r="W3" s="132">
        <f>VLOOKUP(A3,'22_eFSL'!B:F,4,0)</f>
        <v>100</v>
      </c>
      <c r="X3" s="132">
        <f>VLOOKUP(A3,'23_UC3'!B:D,2,0)</f>
        <v>0</v>
      </c>
      <c r="Y3" s="132">
        <f>VLOOKUP(A3,'23_UC4'!B:D,3,0)</f>
        <v>0</v>
      </c>
    </row>
    <row r="4" spans="1:25" s="17" customFormat="1" ht="25.95" customHeight="1">
      <c r="A4" s="124" t="s">
        <v>149</v>
      </c>
      <c r="B4" s="132">
        <f>VLOOKUP(A4,'1_MEDLEAPR_PME'!B:H,6,0)</f>
        <v>100</v>
      </c>
      <c r="C4" s="132">
        <f>VLOOKUP(A4,'2_MEDLEAPR_MLC'!B:I,6,0)</f>
        <v>100</v>
      </c>
      <c r="D4" s="132">
        <f>VLOOKUP(A4,'3_NATGRID'!B:H,6,0)</f>
        <v>0</v>
      </c>
      <c r="E4" s="132">
        <f>VLOOKUP(A4,'4_DGP_DASH'!B:E,3,0)</f>
        <v>100</v>
      </c>
      <c r="F4" s="132">
        <f>VLOOKUP(A4,'5_CCTNS_TILL'!B:P,13,0)</f>
        <v>96.48</v>
      </c>
      <c r="G4" s="132">
        <f>VLOOKUP(A4,'6_CCTNS_1_7'!B:P,13,0)</f>
        <v>100</v>
      </c>
      <c r="H4" s="132">
        <f>VLOOKUP(A4,'7_CCTNS_8_15'!B:M,11,0)</f>
        <v>0</v>
      </c>
      <c r="I4" s="132">
        <f>VLOOKUP(A4,'8_ZERO_FIRS'!B:H,6,0)</f>
        <v>100</v>
      </c>
      <c r="J4" s="132">
        <f>VLOOKUP(A4,'9_CITIZEN_PORTAL'!B:H,6,0)</f>
        <v>100</v>
      </c>
      <c r="K4" s="132">
        <f>VLOOKUP(A4,'10_ESAKSHYA'!B:L,6,0)</f>
        <v>42.647058823529413</v>
      </c>
      <c r="L4" s="132">
        <f>VLOOKUP(A4,'11_CRIMAC'!B:F,4,0)</f>
        <v>100</v>
      </c>
      <c r="M4" s="132">
        <f>VLOOKUP(A4,'12_CEIR'!B:L,10,0)</f>
        <v>60.927013422818789</v>
      </c>
      <c r="N4" s="132">
        <f>VLOOKUP(A4,'13_EPROSEC'!B:H,4,0)</f>
        <v>16.666666666666668</v>
      </c>
      <c r="O4" s="132">
        <f>VLOOKUP(A4,'14_FIR_CS_COURT'!B:L,11,0)</f>
        <v>71.885706850938959</v>
      </c>
      <c r="P4" s="132">
        <f>VLOOKUP(A4,'15_EOFFICE'!B:K,9,0)</f>
        <v>100</v>
      </c>
      <c r="Q4" s="132">
        <f>VLOOKUP(A4,'16_APOLIS'!B:K,10,0)</f>
        <v>61.764705882352942</v>
      </c>
      <c r="R4" s="132">
        <f>VLOOKUP(A4,'17_DRONE_FLYING'!B:J,9,0)</f>
        <v>57</v>
      </c>
      <c r="S4" s="132">
        <f>VLOOKUP(A4,'18_112_TABS'!B:H,6,0)</f>
        <v>100</v>
      </c>
      <c r="T4" s="132">
        <f>VLOOKUP(A4,'19_DIAL100_RES'!B:H,6,0)</f>
        <v>62.585034013605444</v>
      </c>
      <c r="U4" s="132">
        <f>VLOOKUP(A4,'20_CCTV_360'!B:S,17,0)</f>
        <v>71.428571428571431</v>
      </c>
      <c r="V4" s="132">
        <f>VLOOKUP(A4,'21_NEWS360AI'!B:D,2,0)</f>
        <v>0</v>
      </c>
      <c r="W4" s="132">
        <f>VLOOKUP(A4,'22_eFSL'!B:F,4,0)</f>
        <v>0</v>
      </c>
      <c r="X4" s="132">
        <f>VLOOKUP(A4,'23_UC3'!B:D,2,0)</f>
        <v>0</v>
      </c>
      <c r="Y4" s="132">
        <f>VLOOKUP(A4,'23_UC4'!B:D,3,0)</f>
        <v>0</v>
      </c>
    </row>
    <row r="5" spans="1:25" s="17" customFormat="1" ht="25.95" customHeight="1">
      <c r="A5" s="124" t="s">
        <v>150</v>
      </c>
      <c r="B5" s="132" t="str">
        <f>VLOOKUP(A5,'1_MEDLEAPR_PME'!B:H,6,0)</f>
        <v>100.00</v>
      </c>
      <c r="C5" s="132" t="str">
        <f>VLOOKUP(A5,'2_MEDLEAPR_MLC'!B:I,6,0)</f>
        <v>100.00</v>
      </c>
      <c r="D5" s="132">
        <f>VLOOKUP(A5,'3_NATGRID'!B:H,6,0)</f>
        <v>0</v>
      </c>
      <c r="E5" s="132">
        <f>VLOOKUP(A5,'4_DGP_DASH'!B:E,3,0)</f>
        <v>100</v>
      </c>
      <c r="F5" s="132">
        <f>VLOOKUP(A5,'5_CCTNS_TILL'!B:P,13,0)</f>
        <v>80.739999999999995</v>
      </c>
      <c r="G5" s="132">
        <f>VLOOKUP(A5,'6_CCTNS_1_7'!B:P,13,0)</f>
        <v>100</v>
      </c>
      <c r="H5" s="132">
        <f>VLOOKUP(A5,'7_CCTNS_8_15'!B:M,11,0)</f>
        <v>0</v>
      </c>
      <c r="I5" s="132">
        <f>VLOOKUP(A5,'8_ZERO_FIRS'!B:H,6,0)</f>
        <v>100</v>
      </c>
      <c r="J5" s="132">
        <f>VLOOKUP(A5,'9_CITIZEN_PORTAL'!B:H,6,0)</f>
        <v>100</v>
      </c>
      <c r="K5" s="132">
        <f>VLOOKUP(A5,'10_ESAKSHYA'!B:L,6,0)</f>
        <v>37.623762376237622</v>
      </c>
      <c r="L5" s="132">
        <f>VLOOKUP(A5,'11_CRIMAC'!B:F,4,0)</f>
        <v>100</v>
      </c>
      <c r="M5" s="132">
        <f>VLOOKUP(A5,'12_CEIR'!B:L,10,0)</f>
        <v>64.791960507757395</v>
      </c>
      <c r="N5" s="132">
        <f>VLOOKUP(A5,'13_EPROSEC'!B:H,4,0)</f>
        <v>12.5</v>
      </c>
      <c r="O5" s="132">
        <f>VLOOKUP(A5,'14_FIR_CS_COURT'!B:L,11,0)</f>
        <v>68.563210790796091</v>
      </c>
      <c r="P5" s="132">
        <f>VLOOKUP(A5,'15_EOFFICE'!B:K,9,0)</f>
        <v>100</v>
      </c>
      <c r="Q5" s="132">
        <f>VLOOKUP(A5,'16_APOLIS'!B:K,10,0)</f>
        <v>64.166666666666657</v>
      </c>
      <c r="R5" s="132">
        <f>VLOOKUP(A5,'17_DRONE_FLYING'!B:J,9,0)</f>
        <v>61</v>
      </c>
      <c r="S5" s="132">
        <f>VLOOKUP(A5,'18_112_TABS'!B:H,6,0)</f>
        <v>100</v>
      </c>
      <c r="T5" s="132">
        <f>VLOOKUP(A5,'19_DIAL100_RES'!B:H,6,0)</f>
        <v>66.213151927437636</v>
      </c>
      <c r="U5" s="132">
        <f>VLOOKUP(A5,'20_CCTV_360'!B:S,17,0)</f>
        <v>85.714285714285708</v>
      </c>
      <c r="V5" s="132">
        <f>VLOOKUP(A5,'21_NEWS360AI'!B:D,2,0)</f>
        <v>0</v>
      </c>
      <c r="W5" s="132">
        <f>VLOOKUP(A5,'22_eFSL'!B:F,4,0)</f>
        <v>100</v>
      </c>
      <c r="X5" s="132">
        <f>VLOOKUP(A5,'23_UC3'!B:D,2,0)</f>
        <v>0</v>
      </c>
      <c r="Y5" s="132">
        <f>VLOOKUP(A5,'23_UC4'!B:D,3,0)</f>
        <v>0</v>
      </c>
    </row>
    <row r="6" spans="1:25" s="17" customFormat="1" ht="25.95" customHeight="1">
      <c r="A6" s="124" t="s">
        <v>151</v>
      </c>
      <c r="B6" s="132" t="str">
        <f>VLOOKUP(A6,'1_MEDLEAPR_PME'!B:H,6,0)</f>
        <v>100.00</v>
      </c>
      <c r="C6" s="132">
        <f>VLOOKUP(A6,'2_MEDLEAPR_MLC'!B:I,6,0)</f>
        <v>100</v>
      </c>
      <c r="D6" s="132">
        <f>VLOOKUP(A6,'3_NATGRID'!B:H,6,0)</f>
        <v>0</v>
      </c>
      <c r="E6" s="132">
        <f>VLOOKUP(A6,'4_DGP_DASH'!B:E,3,0)</f>
        <v>100</v>
      </c>
      <c r="F6" s="132">
        <f>VLOOKUP(A6,'5_CCTNS_TILL'!B:P,13,0)</f>
        <v>100</v>
      </c>
      <c r="G6" s="132">
        <f>VLOOKUP(A6,'6_CCTNS_1_7'!B:P,13,0)</f>
        <v>96.7</v>
      </c>
      <c r="H6" s="132">
        <f>VLOOKUP(A6,'7_CCTNS_8_15'!B:M,11,0)</f>
        <v>0</v>
      </c>
      <c r="I6" s="132">
        <f>VLOOKUP(A6,'8_ZERO_FIRS'!B:H,6,0)</f>
        <v>100</v>
      </c>
      <c r="J6" s="132">
        <f>VLOOKUP(A6,'9_CITIZEN_PORTAL'!B:H,6,0)</f>
        <v>100</v>
      </c>
      <c r="K6" s="132">
        <f>VLOOKUP(A6,'10_ESAKSHYA'!B:L,6,0)</f>
        <v>53.246753246753244</v>
      </c>
      <c r="L6" s="132">
        <f>VLOOKUP(A6,'11_CRIMAC'!B:F,4,0)</f>
        <v>100</v>
      </c>
      <c r="M6" s="132">
        <f>VLOOKUP(A6,'12_CEIR'!B:L,10,0)</f>
        <v>50</v>
      </c>
      <c r="N6" s="132">
        <f>VLOOKUP(A6,'13_EPROSEC'!B:H,4,0)</f>
        <v>100</v>
      </c>
      <c r="O6" s="132">
        <f>VLOOKUP(A6,'14_FIR_CS_COURT'!B:L,11,0)</f>
        <v>75.457129934741872</v>
      </c>
      <c r="P6" s="132">
        <f>VLOOKUP(A6,'15_EOFFICE'!B:K,9,0)</f>
        <v>100</v>
      </c>
      <c r="Q6" s="132">
        <f>VLOOKUP(A6,'16_APOLIS'!B:K,10,0)</f>
        <v>66.666666666666671</v>
      </c>
      <c r="R6" s="132">
        <f>VLOOKUP(A6,'17_DRONE_FLYING'!B:J,9,0)</f>
        <v>61</v>
      </c>
      <c r="S6" s="132">
        <f>VLOOKUP(A6,'18_112_TABS'!B:H,6,0)</f>
        <v>100</v>
      </c>
      <c r="T6" s="132">
        <f>VLOOKUP(A6,'19_DIAL100_RES'!B:H,6,0)</f>
        <v>50</v>
      </c>
      <c r="U6" s="132">
        <f>VLOOKUP(A6,'20_CCTV_360'!B:S,17,0)</f>
        <v>50</v>
      </c>
      <c r="V6" s="132">
        <f>VLOOKUP(A6,'21_NEWS360AI'!B:D,2,0)</f>
        <v>0</v>
      </c>
      <c r="W6" s="132">
        <f>VLOOKUP(A6,'22_eFSL'!B:F,4,0)</f>
        <v>100</v>
      </c>
      <c r="X6" s="132">
        <f>VLOOKUP(A6,'23_UC3'!B:D,2,0)</f>
        <v>0</v>
      </c>
      <c r="Y6" s="132">
        <f>VLOOKUP(A6,'23_UC4'!B:D,3,0)</f>
        <v>0</v>
      </c>
    </row>
    <row r="7" spans="1:25" s="17" customFormat="1" ht="25.95" customHeight="1">
      <c r="A7" s="124" t="s">
        <v>152</v>
      </c>
      <c r="B7" s="132">
        <f>VLOOKUP(A7,'1_MEDLEAPR_PME'!B:H,6,0)</f>
        <v>100</v>
      </c>
      <c r="C7" s="132">
        <f>VLOOKUP(A7,'2_MEDLEAPR_MLC'!B:I,6,0)</f>
        <v>100</v>
      </c>
      <c r="D7" s="132">
        <f>VLOOKUP(A7,'3_NATGRID'!B:H,6,0)</f>
        <v>0</v>
      </c>
      <c r="E7" s="132">
        <f>VLOOKUP(A7,'4_DGP_DASH'!B:E,3,0)</f>
        <v>100</v>
      </c>
      <c r="F7" s="132">
        <f>VLOOKUP(A7,'5_CCTNS_TILL'!B:P,13,0)</f>
        <v>96.1</v>
      </c>
      <c r="G7" s="132">
        <f>VLOOKUP(A7,'6_CCTNS_1_7'!B:P,13,0)</f>
        <v>100</v>
      </c>
      <c r="H7" s="132">
        <f>VLOOKUP(A7,'7_CCTNS_8_15'!B:M,11,0)</f>
        <v>0</v>
      </c>
      <c r="I7" s="132">
        <f>VLOOKUP(A7,'8_ZERO_FIRS'!B:H,6,0)</f>
        <v>100</v>
      </c>
      <c r="J7" s="132">
        <f>VLOOKUP(A7,'9_CITIZEN_PORTAL'!B:H,6,0)</f>
        <v>100</v>
      </c>
      <c r="K7" s="132">
        <f>VLOOKUP(A7,'10_ESAKSHYA'!B:L,6,0)</f>
        <v>52.189141856392297</v>
      </c>
      <c r="L7" s="132">
        <f>VLOOKUP(A7,'11_CRIMAC'!B:F,4,0)</f>
        <v>100</v>
      </c>
      <c r="M7" s="132">
        <f>VLOOKUP(A7,'12_CEIR'!B:L,10,0)</f>
        <v>68.581081081081066</v>
      </c>
      <c r="N7" s="132">
        <f>VLOOKUP(A7,'13_EPROSEC'!B:H,4,0)</f>
        <v>25</v>
      </c>
      <c r="O7" s="132">
        <f>VLOOKUP(A7,'14_FIR_CS_COURT'!B:L,11,0)</f>
        <v>81.298185941043087</v>
      </c>
      <c r="P7" s="132">
        <f>VLOOKUP(A7,'15_EOFFICE'!B:K,9,0)</f>
        <v>100</v>
      </c>
      <c r="Q7" s="132">
        <f>VLOOKUP(A7,'16_APOLIS'!B:K,10,0)</f>
        <v>67.64705882352942</v>
      </c>
      <c r="R7" s="132">
        <f>VLOOKUP(A7,'17_DRONE_FLYING'!B:J,9,0)</f>
        <v>51</v>
      </c>
      <c r="S7" s="132">
        <f>VLOOKUP(A7,'18_112_TABS'!B:H,6,0)</f>
        <v>100</v>
      </c>
      <c r="T7" s="132">
        <f>VLOOKUP(A7,'19_DIAL100_RES'!B:H,6,0)</f>
        <v>57.142857142857139</v>
      </c>
      <c r="U7" s="132">
        <f>VLOOKUP(A7,'20_CCTV_360'!B:S,17,0)</f>
        <v>50</v>
      </c>
      <c r="V7" s="132">
        <f>VLOOKUP(A7,'21_NEWS360AI'!B:D,2,0)</f>
        <v>0</v>
      </c>
      <c r="W7" s="132">
        <f>VLOOKUP(A7,'22_eFSL'!B:F,4,0)</f>
        <v>80</v>
      </c>
      <c r="X7" s="132">
        <f>VLOOKUP(A7,'23_UC3'!B:D,2,0)</f>
        <v>0</v>
      </c>
      <c r="Y7" s="132">
        <f>VLOOKUP(A7,'23_UC4'!B:D,3,0)</f>
        <v>0</v>
      </c>
    </row>
    <row r="8" spans="1:25" s="17" customFormat="1" ht="25.95" customHeight="1">
      <c r="A8" s="124" t="s">
        <v>153</v>
      </c>
      <c r="B8" s="132">
        <f>VLOOKUP(A8,'1_MEDLEAPR_PME'!B:H,6,0)</f>
        <v>100</v>
      </c>
      <c r="C8" s="132" t="str">
        <f>VLOOKUP(A8,'2_MEDLEAPR_MLC'!B:I,6,0)</f>
        <v>100.00</v>
      </c>
      <c r="D8" s="132">
        <f>VLOOKUP(A8,'3_NATGRID'!B:H,6,0)</f>
        <v>0</v>
      </c>
      <c r="E8" s="132">
        <f>VLOOKUP(A8,'4_DGP_DASH'!B:E,3,0)</f>
        <v>100</v>
      </c>
      <c r="F8" s="132">
        <f>VLOOKUP(A8,'5_CCTNS_TILL'!B:P,13,0)</f>
        <v>89.84</v>
      </c>
      <c r="G8" s="132">
        <f>VLOOKUP(A8,'6_CCTNS_1_7'!B:P,13,0)</f>
        <v>100</v>
      </c>
      <c r="H8" s="132">
        <f>VLOOKUP(A8,'7_CCTNS_8_15'!B:M,11,0)</f>
        <v>0</v>
      </c>
      <c r="I8" s="132">
        <f>VLOOKUP(A8,'8_ZERO_FIRS'!B:H,6,0)</f>
        <v>100</v>
      </c>
      <c r="J8" s="132">
        <f>VLOOKUP(A8,'9_CITIZEN_PORTAL'!B:H,6,0)</f>
        <v>100</v>
      </c>
      <c r="K8" s="132">
        <f>VLOOKUP(A8,'10_ESAKSHYA'!B:L,6,0)</f>
        <v>97.941176470588232</v>
      </c>
      <c r="L8" s="132">
        <f>VLOOKUP(A8,'11_CRIMAC'!B:F,4,0)</f>
        <v>100</v>
      </c>
      <c r="M8" s="132">
        <f>VLOOKUP(A8,'12_CEIR'!B:L,10,0)</f>
        <v>59.512867647058819</v>
      </c>
      <c r="N8" s="132">
        <f>VLOOKUP(A8,'13_EPROSEC'!B:H,4,0)</f>
        <v>100</v>
      </c>
      <c r="O8" s="132">
        <f>VLOOKUP(A8,'14_FIR_CS_COURT'!B:L,11,0)</f>
        <v>84.037131416090276</v>
      </c>
      <c r="P8" s="132">
        <f>VLOOKUP(A8,'15_EOFFICE'!B:K,9,0)</f>
        <v>100</v>
      </c>
      <c r="Q8" s="132">
        <f>VLOOKUP(A8,'16_APOLIS'!B:K,10,0)</f>
        <v>65</v>
      </c>
      <c r="R8" s="132">
        <f>VLOOKUP(A8,'17_DRONE_FLYING'!B:J,9,0)</f>
        <v>51</v>
      </c>
      <c r="S8" s="132">
        <f>VLOOKUP(A8,'18_112_TABS'!B:H,6,0)</f>
        <v>100</v>
      </c>
      <c r="T8" s="132">
        <f>VLOOKUP(A8,'19_DIAL100_RES'!B:H,6,0)</f>
        <v>74.829931972789112</v>
      </c>
      <c r="U8" s="132">
        <f>VLOOKUP(A8,'20_CCTV_360'!B:S,17,0)</f>
        <v>42.857142857142854</v>
      </c>
      <c r="V8" s="132">
        <f>VLOOKUP(A8,'21_NEWS360AI'!B:D,2,0)</f>
        <v>0</v>
      </c>
      <c r="W8" s="132">
        <f>VLOOKUP(A8,'22_eFSL'!B:F,4,0)</f>
        <v>100</v>
      </c>
      <c r="X8" s="132">
        <f>VLOOKUP(A8,'23_UC3'!B:D,2,0)</f>
        <v>0</v>
      </c>
      <c r="Y8" s="132">
        <f>VLOOKUP(A8,'23_UC4'!B:D,3,0)</f>
        <v>0</v>
      </c>
    </row>
    <row r="9" spans="1:25" s="17" customFormat="1" ht="25.95" customHeight="1">
      <c r="A9" s="124" t="s">
        <v>154</v>
      </c>
      <c r="B9" s="132" t="str">
        <f>VLOOKUP(A9,'1_MEDLEAPR_PME'!B:H,6,0)</f>
        <v>100.00</v>
      </c>
      <c r="C9" s="132" t="str">
        <f>VLOOKUP(A9,'2_MEDLEAPR_MLC'!B:I,6,0)</f>
        <v>100.00</v>
      </c>
      <c r="D9" s="132">
        <f>VLOOKUP(A9,'3_NATGRID'!B:H,6,0)</f>
        <v>0</v>
      </c>
      <c r="E9" s="132">
        <f>VLOOKUP(A9,'4_DGP_DASH'!B:E,3,0)</f>
        <v>100</v>
      </c>
      <c r="F9" s="132">
        <f>VLOOKUP(A9,'5_CCTNS_TILL'!B:P,13,0)</f>
        <v>100</v>
      </c>
      <c r="G9" s="132">
        <f>VLOOKUP(A9,'6_CCTNS_1_7'!B:P,13,0)</f>
        <v>100</v>
      </c>
      <c r="H9" s="132">
        <f>VLOOKUP(A9,'7_CCTNS_8_15'!B:M,11,0)</f>
        <v>0</v>
      </c>
      <c r="I9" s="132">
        <f>VLOOKUP(A9,'8_ZERO_FIRS'!B:H,6,0)</f>
        <v>100</v>
      </c>
      <c r="J9" s="132">
        <f>VLOOKUP(A9,'9_CITIZEN_PORTAL'!B:H,6,0)</f>
        <v>100</v>
      </c>
      <c r="K9" s="132">
        <f>VLOOKUP(A9,'10_ESAKSHYA'!B:L,6,0)</f>
        <v>97.727272727272734</v>
      </c>
      <c r="L9" s="132">
        <f>VLOOKUP(A9,'11_CRIMAC'!B:F,4,0)</f>
        <v>100</v>
      </c>
      <c r="M9" s="132">
        <f>VLOOKUP(A9,'12_CEIR'!B:L,10,0)</f>
        <v>74.375</v>
      </c>
      <c r="N9" s="132">
        <f>VLOOKUP(A9,'13_EPROSEC'!B:H,4,0)</f>
        <v>100</v>
      </c>
      <c r="O9" s="132">
        <f>VLOOKUP(A9,'14_FIR_CS_COURT'!B:L,11,0)</f>
        <v>82.74385703648548</v>
      </c>
      <c r="P9" s="132">
        <f>VLOOKUP(A9,'15_EOFFICE'!B:K,9,0)</f>
        <v>100</v>
      </c>
      <c r="Q9" s="132">
        <f>VLOOKUP(A9,'16_APOLIS'!B:K,10,0)</f>
        <v>61.111111111111114</v>
      </c>
      <c r="R9" s="132">
        <f>VLOOKUP(A9,'17_DRONE_FLYING'!B:J,9,0)</f>
        <v>51</v>
      </c>
      <c r="S9" s="132">
        <f>VLOOKUP(A9,'18_112_TABS'!B:H,6,0)</f>
        <v>100</v>
      </c>
      <c r="T9" s="132">
        <f>VLOOKUP(A9,'19_DIAL100_RES'!B:H,6,0)</f>
        <v>75.510204081632651</v>
      </c>
      <c r="U9" s="132">
        <f>VLOOKUP(A9,'20_CCTV_360'!B:S,17,0)</f>
        <v>50</v>
      </c>
      <c r="V9" s="132">
        <f>VLOOKUP(A9,'21_NEWS360AI'!B:D,2,0)</f>
        <v>0</v>
      </c>
      <c r="W9" s="132">
        <f>VLOOKUP(A9,'22_eFSL'!B:F,4,0)</f>
        <v>100</v>
      </c>
      <c r="X9" s="132">
        <f>VLOOKUP(A9,'23_UC3'!B:D,2,0)</f>
        <v>0</v>
      </c>
      <c r="Y9" s="132">
        <f>VLOOKUP(A9,'23_UC4'!B:D,3,0)</f>
        <v>0</v>
      </c>
    </row>
    <row r="10" spans="1:25" s="17" customFormat="1" ht="25.95" customHeight="1">
      <c r="A10" s="124" t="s">
        <v>155</v>
      </c>
      <c r="B10" s="132" t="str">
        <f>VLOOKUP(A10,'1_MEDLEAPR_PME'!B:H,6,0)</f>
        <v>100.00</v>
      </c>
      <c r="C10" s="132" t="str">
        <f>VLOOKUP(A10,'2_MEDLEAPR_MLC'!B:I,6,0)</f>
        <v>100.00</v>
      </c>
      <c r="D10" s="132">
        <f>VLOOKUP(A10,'3_NATGRID'!B:H,6,0)</f>
        <v>0</v>
      </c>
      <c r="E10" s="132">
        <f>VLOOKUP(A10,'4_DGP_DASH'!B:E,3,0)</f>
        <v>100</v>
      </c>
      <c r="F10" s="132">
        <f>VLOOKUP(A10,'5_CCTNS_TILL'!B:P,13,0)</f>
        <v>94.4</v>
      </c>
      <c r="G10" s="132">
        <f>VLOOKUP(A10,'6_CCTNS_1_7'!B:P,13,0)</f>
        <v>74.39</v>
      </c>
      <c r="H10" s="132">
        <f>VLOOKUP(A10,'7_CCTNS_8_15'!B:M,11,0)</f>
        <v>0</v>
      </c>
      <c r="I10" s="132">
        <f>VLOOKUP(A10,'8_ZERO_FIRS'!B:H,6,0)</f>
        <v>100</v>
      </c>
      <c r="J10" s="132">
        <f>VLOOKUP(A10,'9_CITIZEN_PORTAL'!B:H,6,0)</f>
        <v>100</v>
      </c>
      <c r="K10" s="132">
        <f>VLOOKUP(A10,'10_ESAKSHYA'!B:L,6,0)</f>
        <v>64.660493827160494</v>
      </c>
      <c r="L10" s="132">
        <f>VLOOKUP(A10,'11_CRIMAC'!B:F,4,0)</f>
        <v>100</v>
      </c>
      <c r="M10" s="132">
        <f>VLOOKUP(A10,'12_CEIR'!B:L,10,0)</f>
        <v>60.689786585365844</v>
      </c>
      <c r="N10" s="132">
        <f>VLOOKUP(A10,'13_EPROSEC'!B:H,4,0)</f>
        <v>33.333333333333336</v>
      </c>
      <c r="O10" s="132">
        <f>VLOOKUP(A10,'14_FIR_CS_COURT'!B:L,11,0)</f>
        <v>82.566220823498554</v>
      </c>
      <c r="P10" s="132">
        <f>VLOOKUP(A10,'15_EOFFICE'!B:K,9,0)</f>
        <v>100</v>
      </c>
      <c r="Q10" s="132">
        <f>VLOOKUP(A10,'16_APOLIS'!B:K,10,0)</f>
        <v>62.5</v>
      </c>
      <c r="R10" s="132">
        <f>VLOOKUP(A10,'17_DRONE_FLYING'!B:J,9,0)</f>
        <v>51</v>
      </c>
      <c r="S10" s="132">
        <f>VLOOKUP(A10,'18_112_TABS'!B:H,6,0)</f>
        <v>100</v>
      </c>
      <c r="T10" s="132">
        <f>VLOOKUP(A10,'19_DIAL100_RES'!B:H,6,0)</f>
        <v>34.693877551020407</v>
      </c>
      <c r="U10" s="132">
        <f>VLOOKUP(A10,'20_CCTV_360'!B:S,17,0)</f>
        <v>64.285714285714292</v>
      </c>
      <c r="V10" s="132">
        <f>VLOOKUP(A10,'21_NEWS360AI'!B:D,2,0)</f>
        <v>0</v>
      </c>
      <c r="W10" s="132">
        <f>VLOOKUP(A10,'22_eFSL'!B:F,4,0)</f>
        <v>100</v>
      </c>
      <c r="X10" s="132">
        <f>VLOOKUP(A10,'23_UC3'!B:D,2,0)</f>
        <v>0</v>
      </c>
      <c r="Y10" s="132">
        <f>VLOOKUP(A10,'23_UC4'!B:D,3,0)</f>
        <v>0</v>
      </c>
    </row>
    <row r="11" spans="1:25" s="17" customFormat="1" ht="25.95" customHeight="1">
      <c r="A11" s="124" t="s">
        <v>156</v>
      </c>
      <c r="B11" s="132" t="str">
        <f>VLOOKUP(A11,'1_MEDLEAPR_PME'!B:H,6,0)</f>
        <v>100.00</v>
      </c>
      <c r="C11" s="132" t="str">
        <f>VLOOKUP(A11,'2_MEDLEAPR_MLC'!B:I,6,0)</f>
        <v>100.00</v>
      </c>
      <c r="D11" s="132">
        <f>VLOOKUP(A11,'3_NATGRID'!B:H,6,0)</f>
        <v>0</v>
      </c>
      <c r="E11" s="132">
        <f>VLOOKUP(A11,'4_DGP_DASH'!B:E,3,0)</f>
        <v>100</v>
      </c>
      <c r="F11" s="132">
        <f>VLOOKUP(A11,'5_CCTNS_TILL'!B:P,13,0)</f>
        <v>88.18</v>
      </c>
      <c r="G11" s="132">
        <f>VLOOKUP(A11,'6_CCTNS_1_7'!B:P,13,0)</f>
        <v>50</v>
      </c>
      <c r="H11" s="132">
        <f>VLOOKUP(A11,'7_CCTNS_8_15'!B:M,11,0)</f>
        <v>0</v>
      </c>
      <c r="I11" s="132">
        <f>VLOOKUP(A11,'8_ZERO_FIRS'!B:H,6,0)</f>
        <v>100</v>
      </c>
      <c r="J11" s="132">
        <f>VLOOKUP(A11,'9_CITIZEN_PORTAL'!B:H,6,0)</f>
        <v>100</v>
      </c>
      <c r="K11" s="132">
        <f>VLOOKUP(A11,'10_ESAKSHYA'!B:L,6,0)</f>
        <v>85.31073446327683</v>
      </c>
      <c r="L11" s="132">
        <f>VLOOKUP(A11,'11_CRIMAC'!B:F,4,0)</f>
        <v>100</v>
      </c>
      <c r="M11" s="132">
        <f>VLOOKUP(A11,'12_CEIR'!B:L,10,0)</f>
        <v>63.802083333333343</v>
      </c>
      <c r="N11" s="132">
        <f>VLOOKUP(A11,'13_EPROSEC'!B:H,4,0)</f>
        <v>100</v>
      </c>
      <c r="O11" s="132">
        <f>VLOOKUP(A11,'14_FIR_CS_COURT'!B:L,11,0)</f>
        <v>77.562253264500455</v>
      </c>
      <c r="P11" s="132">
        <f>VLOOKUP(A11,'15_EOFFICE'!B:K,9,0)</f>
        <v>100</v>
      </c>
      <c r="Q11" s="132">
        <f>VLOOKUP(A11,'16_APOLIS'!B:K,10,0)</f>
        <v>65</v>
      </c>
      <c r="R11" s="132">
        <f>VLOOKUP(A11,'17_DRONE_FLYING'!B:J,9,0)</f>
        <v>51</v>
      </c>
      <c r="S11" s="132">
        <f>VLOOKUP(A11,'18_112_TABS'!B:H,6,0)</f>
        <v>100</v>
      </c>
      <c r="T11" s="132">
        <f>VLOOKUP(A11,'19_DIAL100_RES'!B:H,6,0)</f>
        <v>76.870748299319729</v>
      </c>
      <c r="U11" s="132">
        <f>VLOOKUP(A11,'20_CCTV_360'!B:S,17,0)</f>
        <v>50</v>
      </c>
      <c r="V11" s="132">
        <f>VLOOKUP(A11,'21_NEWS360AI'!B:D,2,0)</f>
        <v>0</v>
      </c>
      <c r="W11" s="132">
        <f>VLOOKUP(A11,'22_eFSL'!B:F,4,0)</f>
        <v>100</v>
      </c>
      <c r="X11" s="132">
        <f>VLOOKUP(A11,'23_UC3'!B:D,2,0)</f>
        <v>0</v>
      </c>
      <c r="Y11" s="132">
        <f>VLOOKUP(A11,'23_UC4'!B:D,3,0)</f>
        <v>0</v>
      </c>
    </row>
    <row r="12" spans="1:25" s="17" customFormat="1" ht="25.95" customHeight="1">
      <c r="A12" s="124" t="s">
        <v>157</v>
      </c>
      <c r="B12" s="132" t="str">
        <f>VLOOKUP(A12,'1_MEDLEAPR_PME'!B:H,6,0)</f>
        <v>100.00</v>
      </c>
      <c r="C12" s="132" t="str">
        <f>VLOOKUP(A12,'2_MEDLEAPR_MLC'!B:I,6,0)</f>
        <v>100.00</v>
      </c>
      <c r="D12" s="132">
        <f>VLOOKUP(A12,'3_NATGRID'!B:H,6,0)</f>
        <v>0</v>
      </c>
      <c r="E12" s="132">
        <f>VLOOKUP(A12,'4_DGP_DASH'!B:E,3,0)</f>
        <v>100</v>
      </c>
      <c r="F12" s="132">
        <f>VLOOKUP(A12,'5_CCTNS_TILL'!B:P,13,0)</f>
        <v>100</v>
      </c>
      <c r="G12" s="132">
        <f>VLOOKUP(A12,'6_CCTNS_1_7'!B:P,13,0)</f>
        <v>81.83</v>
      </c>
      <c r="H12" s="132">
        <f>VLOOKUP(A12,'7_CCTNS_8_15'!B:M,11,0)</f>
        <v>0</v>
      </c>
      <c r="I12" s="132">
        <f>VLOOKUP(A12,'8_ZERO_FIRS'!B:H,6,0)</f>
        <v>100</v>
      </c>
      <c r="J12" s="132">
        <f>VLOOKUP(A12,'9_CITIZEN_PORTAL'!B:H,6,0)</f>
        <v>100</v>
      </c>
      <c r="K12" s="132">
        <f>VLOOKUP(A12,'10_ESAKSHYA'!B:L,6,0)</f>
        <v>60</v>
      </c>
      <c r="L12" s="132">
        <f>VLOOKUP(A12,'11_CRIMAC'!B:F,4,0)</f>
        <v>100</v>
      </c>
      <c r="M12" s="132">
        <f>VLOOKUP(A12,'12_CEIR'!B:L,10,0)</f>
        <v>26.249999999999996</v>
      </c>
      <c r="N12" s="132">
        <f>VLOOKUP(A12,'13_EPROSEC'!B:H,4,0)</f>
        <v>66.666666666666671</v>
      </c>
      <c r="O12" s="132">
        <f>VLOOKUP(A12,'14_FIR_CS_COURT'!B:L,11,0)</f>
        <v>77.240249098656165</v>
      </c>
      <c r="P12" s="132">
        <f>VLOOKUP(A12,'15_EOFFICE'!B:K,9,0)</f>
        <v>100</v>
      </c>
      <c r="Q12" s="132">
        <f>VLOOKUP(A12,'16_APOLIS'!B:K,10,0)</f>
        <v>65</v>
      </c>
      <c r="R12" s="132">
        <f>VLOOKUP(A12,'17_DRONE_FLYING'!B:J,9,0)</f>
        <v>51</v>
      </c>
      <c r="S12" s="132">
        <f>VLOOKUP(A12,'18_112_TABS'!B:H,6,0)</f>
        <v>100</v>
      </c>
      <c r="T12" s="132">
        <f>VLOOKUP(A12,'19_DIAL100_RES'!B:H,6,0)</f>
        <v>50</v>
      </c>
      <c r="U12" s="132">
        <f>VLOOKUP(A12,'20_CCTV_360'!B:S,17,0)</f>
        <v>50</v>
      </c>
      <c r="V12" s="132">
        <f>VLOOKUP(A12,'21_NEWS360AI'!B:D,2,0)</f>
        <v>0</v>
      </c>
      <c r="W12" s="132">
        <f>VLOOKUP(A12,'22_eFSL'!B:F,4,0)</f>
        <v>100</v>
      </c>
      <c r="X12" s="132">
        <f>VLOOKUP(A12,'23_UC3'!B:D,2,0)</f>
        <v>0</v>
      </c>
      <c r="Y12" s="132">
        <f>VLOOKUP(A12,'23_UC4'!B:D,3,0)</f>
        <v>0</v>
      </c>
    </row>
    <row r="13" spans="1:25" s="17" customFormat="1" ht="25.95" customHeight="1">
      <c r="A13" s="124" t="s">
        <v>158</v>
      </c>
      <c r="B13" s="132" t="str">
        <f>VLOOKUP(A13,'1_MEDLEAPR_PME'!B:H,6,0)</f>
        <v>100.00</v>
      </c>
      <c r="C13" s="132" t="str">
        <f>VLOOKUP(A13,'2_MEDLEAPR_MLC'!B:I,6,0)</f>
        <v>100.00</v>
      </c>
      <c r="D13" s="132">
        <f>VLOOKUP(A13,'3_NATGRID'!B:H,6,0)</f>
        <v>0</v>
      </c>
      <c r="E13" s="132">
        <f>VLOOKUP(A13,'4_DGP_DASH'!B:E,3,0)</f>
        <v>100</v>
      </c>
      <c r="F13" s="132">
        <f>VLOOKUP(A13,'5_CCTNS_TILL'!B:P,13,0)</f>
        <v>89.34</v>
      </c>
      <c r="G13" s="132">
        <f>VLOOKUP(A13,'6_CCTNS_1_7'!B:P,13,0)</f>
        <v>100</v>
      </c>
      <c r="H13" s="132">
        <f>VLOOKUP(A13,'7_CCTNS_8_15'!B:M,11,0)</f>
        <v>0</v>
      </c>
      <c r="I13" s="132">
        <f>VLOOKUP(A13,'8_ZERO_FIRS'!B:H,6,0)</f>
        <v>100</v>
      </c>
      <c r="J13" s="132">
        <f>VLOOKUP(A13,'9_CITIZEN_PORTAL'!B:H,6,0)</f>
        <v>100</v>
      </c>
      <c r="K13" s="132">
        <f>VLOOKUP(A13,'10_ESAKSHYA'!B:L,6,0)</f>
        <v>86.440677966101688</v>
      </c>
      <c r="L13" s="132">
        <f>VLOOKUP(A13,'11_CRIMAC'!B:F,4,0)</f>
        <v>100</v>
      </c>
      <c r="M13" s="132">
        <f>VLOOKUP(A13,'12_CEIR'!B:L,10,0)</f>
        <v>69.196428571428555</v>
      </c>
      <c r="N13" s="132">
        <f>VLOOKUP(A13,'13_EPROSEC'!B:H,4,0)</f>
        <v>100</v>
      </c>
      <c r="O13" s="132">
        <f>VLOOKUP(A13,'14_FIR_CS_COURT'!B:L,11,0)</f>
        <v>81.98231392778186</v>
      </c>
      <c r="P13" s="132">
        <f>VLOOKUP(A13,'15_EOFFICE'!B:K,9,0)</f>
        <v>100</v>
      </c>
      <c r="Q13" s="132">
        <f>VLOOKUP(A13,'16_APOLIS'!B:K,10,0)</f>
        <v>62.5</v>
      </c>
      <c r="R13" s="132">
        <f>VLOOKUP(A13,'17_DRONE_FLYING'!B:J,9,0)</f>
        <v>51</v>
      </c>
      <c r="S13" s="132">
        <f>VLOOKUP(A13,'18_112_TABS'!B:H,6,0)</f>
        <v>33.333333333333329</v>
      </c>
      <c r="T13" s="132">
        <f>VLOOKUP(A13,'19_DIAL100_RES'!B:H,6,0)</f>
        <v>48.072562358276642</v>
      </c>
      <c r="U13" s="132">
        <f>VLOOKUP(A13,'20_CCTV_360'!B:S,17,0)</f>
        <v>42.857142857142854</v>
      </c>
      <c r="V13" s="132">
        <f>VLOOKUP(A13,'21_NEWS360AI'!B:D,2,0)</f>
        <v>0</v>
      </c>
      <c r="W13" s="132">
        <f>VLOOKUP(A13,'22_eFSL'!B:F,4,0)</f>
        <v>100</v>
      </c>
      <c r="X13" s="132">
        <f>VLOOKUP(A13,'23_UC3'!B:D,2,0)</f>
        <v>0</v>
      </c>
      <c r="Y13" s="132">
        <f>VLOOKUP(A13,'23_UC4'!B:D,3,0)</f>
        <v>0</v>
      </c>
    </row>
    <row r="14" spans="1:25" s="17" customFormat="1" ht="25.95" customHeight="1">
      <c r="A14" s="124" t="s">
        <v>159</v>
      </c>
      <c r="B14" s="132" t="str">
        <f>VLOOKUP(A14,'1_MEDLEAPR_PME'!B:H,6,0)</f>
        <v>100.00</v>
      </c>
      <c r="C14" s="132" t="str">
        <f>VLOOKUP(A14,'2_MEDLEAPR_MLC'!B:I,6,0)</f>
        <v>100.00</v>
      </c>
      <c r="D14" s="132">
        <f>VLOOKUP(A14,'3_NATGRID'!B:H,6,0)</f>
        <v>0</v>
      </c>
      <c r="E14" s="132">
        <f>VLOOKUP(A14,'4_DGP_DASH'!B:E,3,0)</f>
        <v>100</v>
      </c>
      <c r="F14" s="132">
        <f>VLOOKUP(A14,'5_CCTNS_TILL'!B:P,13,0)</f>
        <v>100</v>
      </c>
      <c r="G14" s="132">
        <f>VLOOKUP(A14,'6_CCTNS_1_7'!B:P,13,0)</f>
        <v>54.55</v>
      </c>
      <c r="H14" s="132">
        <f>VLOOKUP(A14,'7_CCTNS_8_15'!B:M,11,0)</f>
        <v>0</v>
      </c>
      <c r="I14" s="132">
        <f>VLOOKUP(A14,'8_ZERO_FIRS'!B:H,6,0)</f>
        <v>100</v>
      </c>
      <c r="J14" s="132">
        <f>VLOOKUP(A14,'9_CITIZEN_PORTAL'!B:H,6,0)</f>
        <v>100</v>
      </c>
      <c r="K14" s="132">
        <f>VLOOKUP(A14,'10_ESAKSHYA'!B:L,6,0)</f>
        <v>73.245614035087726</v>
      </c>
      <c r="L14" s="132">
        <f>VLOOKUP(A14,'11_CRIMAC'!B:F,4,0)</f>
        <v>100</v>
      </c>
      <c r="M14" s="132">
        <f>VLOOKUP(A14,'12_CEIR'!B:L,10,0)</f>
        <v>49.715909090909086</v>
      </c>
      <c r="N14" s="132">
        <f>VLOOKUP(A14,'13_EPROSEC'!B:H,4,0)</f>
        <v>100</v>
      </c>
      <c r="O14" s="132">
        <f>VLOOKUP(A14,'14_FIR_CS_COURT'!B:L,11,0)</f>
        <v>77.634408602150529</v>
      </c>
      <c r="P14" s="132">
        <f>VLOOKUP(A14,'15_EOFFICE'!B:K,9,0)</f>
        <v>100</v>
      </c>
      <c r="Q14" s="132">
        <f>VLOOKUP(A14,'16_APOLIS'!B:K,10,0)</f>
        <v>65</v>
      </c>
      <c r="R14" s="132">
        <f>VLOOKUP(A14,'17_DRONE_FLYING'!B:J,9,0)</f>
        <v>51</v>
      </c>
      <c r="S14" s="132">
        <f>VLOOKUP(A14,'18_112_TABS'!B:H,6,0)</f>
        <v>50</v>
      </c>
      <c r="T14" s="132">
        <f>VLOOKUP(A14,'19_DIAL100_RES'!B:H,6,0)</f>
        <v>14.965986394557817</v>
      </c>
      <c r="U14" s="132">
        <f>VLOOKUP(A14,'20_CCTV_360'!B:S,17,0)</f>
        <v>42.857142857142854</v>
      </c>
      <c r="V14" s="132">
        <f>VLOOKUP(A14,'21_NEWS360AI'!B:D,2,0)</f>
        <v>0</v>
      </c>
      <c r="W14" s="132">
        <f>VLOOKUP(A14,'22_eFSL'!B:F,4,0)</f>
        <v>100</v>
      </c>
      <c r="X14" s="132">
        <f>VLOOKUP(A14,'23_UC3'!B:D,2,0)</f>
        <v>0</v>
      </c>
      <c r="Y14" s="132">
        <f>VLOOKUP(A14,'23_UC4'!B:D,3,0)</f>
        <v>0</v>
      </c>
    </row>
    <row r="15" spans="1:25" s="17" customFormat="1" ht="25.95" customHeight="1">
      <c r="A15" s="124" t="s">
        <v>160</v>
      </c>
      <c r="B15" s="132">
        <f>VLOOKUP(A15,'1_MEDLEAPR_PME'!B:H,6,0)</f>
        <v>100</v>
      </c>
      <c r="C15" s="132">
        <f>VLOOKUP(A15,'2_MEDLEAPR_MLC'!B:I,6,0)</f>
        <v>100</v>
      </c>
      <c r="D15" s="132">
        <f>VLOOKUP(A15,'3_NATGRID'!B:H,6,0)</f>
        <v>0</v>
      </c>
      <c r="E15" s="132">
        <f>VLOOKUP(A15,'4_DGP_DASH'!B:E,3,0)</f>
        <v>100</v>
      </c>
      <c r="F15" s="132">
        <f>VLOOKUP(A15,'5_CCTNS_TILL'!B:P,13,0)</f>
        <v>99.15</v>
      </c>
      <c r="G15" s="132">
        <f>VLOOKUP(A15,'6_CCTNS_1_7'!B:P,13,0)</f>
        <v>100</v>
      </c>
      <c r="H15" s="132">
        <f>VLOOKUP(A15,'7_CCTNS_8_15'!B:M,11,0)</f>
        <v>0</v>
      </c>
      <c r="I15" s="132">
        <f>VLOOKUP(A15,'8_ZERO_FIRS'!B:H,6,0)</f>
        <v>100</v>
      </c>
      <c r="J15" s="132">
        <f>VLOOKUP(A15,'9_CITIZEN_PORTAL'!B:H,6,0)</f>
        <v>100</v>
      </c>
      <c r="K15" s="132">
        <f>VLOOKUP(A15,'10_ESAKSHYA'!B:L,6,0)</f>
        <v>62</v>
      </c>
      <c r="L15" s="132">
        <f>VLOOKUP(A15,'11_CRIMAC'!B:F,4,0)</f>
        <v>100</v>
      </c>
      <c r="M15" s="132">
        <f>VLOOKUP(A15,'12_CEIR'!B:L,10,0)</f>
        <v>54.6875</v>
      </c>
      <c r="N15" s="132">
        <f>VLOOKUP(A15,'13_EPROSEC'!B:H,4,0)</f>
        <v>25</v>
      </c>
      <c r="O15" s="132">
        <f>VLOOKUP(A15,'14_FIR_CS_COURT'!B:L,11,0)</f>
        <v>68.542836868518478</v>
      </c>
      <c r="P15" s="132">
        <f>VLOOKUP(A15,'15_EOFFICE'!B:K,9,0)</f>
        <v>100</v>
      </c>
      <c r="Q15" s="132">
        <f>VLOOKUP(A15,'16_APOLIS'!B:K,10,0)</f>
        <v>60</v>
      </c>
      <c r="R15" s="132">
        <f>VLOOKUP(A15,'17_DRONE_FLYING'!B:J,9,0)</f>
        <v>51</v>
      </c>
      <c r="S15" s="132">
        <f>VLOOKUP(A15,'18_112_TABS'!B:H,6,0)</f>
        <v>100</v>
      </c>
      <c r="T15" s="132">
        <f>VLOOKUP(A15,'19_DIAL100_RES'!B:H,6,0)</f>
        <v>74.149659863945573</v>
      </c>
      <c r="U15" s="132">
        <f>VLOOKUP(A15,'20_CCTV_360'!B:S,17,0)</f>
        <v>64.285714285714292</v>
      </c>
      <c r="V15" s="132">
        <f>VLOOKUP(A15,'21_NEWS360AI'!B:D,2,0)</f>
        <v>0</v>
      </c>
      <c r="W15" s="132">
        <f>VLOOKUP(A15,'22_eFSL'!B:F,4,0)</f>
        <v>100</v>
      </c>
      <c r="X15" s="132">
        <f>VLOOKUP(A15,'23_UC3'!B:D,2,0)</f>
        <v>0</v>
      </c>
      <c r="Y15" s="132">
        <f>VLOOKUP(A15,'23_UC4'!B:D,3,0)</f>
        <v>0</v>
      </c>
    </row>
    <row r="16" spans="1:25" s="17" customFormat="1" ht="25.95" customHeight="1">
      <c r="A16" s="124" t="s">
        <v>161</v>
      </c>
      <c r="B16" s="132" t="str">
        <f>VLOOKUP(A16,'1_MEDLEAPR_PME'!B:H,6,0)</f>
        <v>100.00</v>
      </c>
      <c r="C16" s="132" t="str">
        <f>VLOOKUP(A16,'2_MEDLEAPR_MLC'!B:I,6,0)</f>
        <v>100.00</v>
      </c>
      <c r="D16" s="132">
        <f>VLOOKUP(A16,'3_NATGRID'!B:H,6,0)</f>
        <v>0</v>
      </c>
      <c r="E16" s="132">
        <f>VLOOKUP(A16,'4_DGP_DASH'!B:E,3,0)</f>
        <v>100</v>
      </c>
      <c r="F16" s="132">
        <f>VLOOKUP(A16,'5_CCTNS_TILL'!B:P,13,0)</f>
        <v>93.02</v>
      </c>
      <c r="G16" s="132">
        <f>VLOOKUP(A16,'6_CCTNS_1_7'!B:P,13,0)</f>
        <v>100</v>
      </c>
      <c r="H16" s="132">
        <f>VLOOKUP(A16,'7_CCTNS_8_15'!B:M,11,0)</f>
        <v>0</v>
      </c>
      <c r="I16" s="132">
        <f>VLOOKUP(A16,'8_ZERO_FIRS'!B:H,6,0)</f>
        <v>100</v>
      </c>
      <c r="J16" s="132">
        <f>VLOOKUP(A16,'9_CITIZEN_PORTAL'!B:H,6,0)</f>
        <v>100</v>
      </c>
      <c r="K16" s="132">
        <f>VLOOKUP(A16,'10_ESAKSHYA'!B:L,6,0)</f>
        <v>100</v>
      </c>
      <c r="L16" s="132">
        <f>VLOOKUP(A16,'11_CRIMAC'!B:F,4,0)</f>
        <v>100</v>
      </c>
      <c r="M16" s="132">
        <f>VLOOKUP(A16,'12_CEIR'!B:L,10,0)</f>
        <v>53.728070175438596</v>
      </c>
      <c r="N16" s="132">
        <f>VLOOKUP(A16,'13_EPROSEC'!B:H,4,0)</f>
        <v>50</v>
      </c>
      <c r="O16" s="132">
        <f>VLOOKUP(A16,'14_FIR_CS_COURT'!B:L,11,0)</f>
        <v>74.558080808080803</v>
      </c>
      <c r="P16" s="132">
        <f>VLOOKUP(A16,'15_EOFFICE'!B:K,9,0)</f>
        <v>100</v>
      </c>
      <c r="Q16" s="132">
        <f>VLOOKUP(A16,'16_APOLIS'!B:K,10,0)</f>
        <v>65</v>
      </c>
      <c r="R16" s="132">
        <f>VLOOKUP(A16,'17_DRONE_FLYING'!B:J,9,0)</f>
        <v>54</v>
      </c>
      <c r="S16" s="132">
        <f>VLOOKUP(A16,'18_112_TABS'!B:H,6,0)</f>
        <v>50</v>
      </c>
      <c r="T16" s="132">
        <f>VLOOKUP(A16,'19_DIAL100_RES'!B:H,6,0)</f>
        <v>51.247165532879812</v>
      </c>
      <c r="U16" s="132">
        <f>VLOOKUP(A16,'20_CCTV_360'!B:S,17,0)</f>
        <v>78.571428571428569</v>
      </c>
      <c r="V16" s="132">
        <f>VLOOKUP(A16,'21_NEWS360AI'!B:D,2,0)</f>
        <v>0</v>
      </c>
      <c r="W16" s="132">
        <f>VLOOKUP(A16,'22_eFSL'!B:F,4,0)</f>
        <v>100</v>
      </c>
      <c r="X16" s="132">
        <f>VLOOKUP(A16,'23_UC3'!B:D,2,0)</f>
        <v>0</v>
      </c>
      <c r="Y16" s="132">
        <f>VLOOKUP(A16,'23_UC4'!B:D,3,0)</f>
        <v>0</v>
      </c>
    </row>
    <row r="17" spans="1:25" s="17" customFormat="1" ht="25.95" customHeight="1">
      <c r="A17" s="124" t="s">
        <v>162</v>
      </c>
      <c r="B17" s="132" t="str">
        <f>VLOOKUP(A17,'1_MEDLEAPR_PME'!B:H,6,0)</f>
        <v>100.00</v>
      </c>
      <c r="C17" s="132" t="str">
        <f>VLOOKUP(A17,'2_MEDLEAPR_MLC'!B:I,6,0)</f>
        <v>100.00</v>
      </c>
      <c r="D17" s="132">
        <f>VLOOKUP(A17,'3_NATGRID'!B:H,6,0)</f>
        <v>0</v>
      </c>
      <c r="E17" s="132">
        <f>VLOOKUP(A17,'4_DGP_DASH'!B:E,3,0)</f>
        <v>100</v>
      </c>
      <c r="F17" s="132">
        <f>VLOOKUP(A17,'5_CCTNS_TILL'!B:P,13,0)</f>
        <v>97.46</v>
      </c>
      <c r="G17" s="132">
        <f>VLOOKUP(A17,'6_CCTNS_1_7'!B:P,13,0)</f>
        <v>50</v>
      </c>
      <c r="H17" s="132">
        <f>VLOOKUP(A17,'7_CCTNS_8_15'!B:M,11,0)</f>
        <v>0</v>
      </c>
      <c r="I17" s="132">
        <f>VLOOKUP(A17,'8_ZERO_FIRS'!B:H,6,0)</f>
        <v>100</v>
      </c>
      <c r="J17" s="132">
        <f>VLOOKUP(A17,'9_CITIZEN_PORTAL'!B:H,6,0)</f>
        <v>100</v>
      </c>
      <c r="K17" s="132">
        <f>VLOOKUP(A17,'10_ESAKSHYA'!B:L,6,0)</f>
        <v>48.677248677248677</v>
      </c>
      <c r="L17" s="132">
        <f>VLOOKUP(A17,'11_CRIMAC'!B:F,4,0)</f>
        <v>100</v>
      </c>
      <c r="M17" s="132">
        <f>VLOOKUP(A17,'12_CEIR'!B:L,10,0)</f>
        <v>52.499999999999993</v>
      </c>
      <c r="N17" s="132">
        <f>VLOOKUP(A17,'13_EPROSEC'!B:H,4,0)</f>
        <v>0</v>
      </c>
      <c r="O17" s="132">
        <f>VLOOKUP(A17,'14_FIR_CS_COURT'!B:L,11,0)</f>
        <v>76.663428848955803</v>
      </c>
      <c r="P17" s="132">
        <f>VLOOKUP(A17,'15_EOFFICE'!B:K,9,0)</f>
        <v>100</v>
      </c>
      <c r="Q17" s="132">
        <f>VLOOKUP(A17,'16_APOLIS'!B:K,10,0)</f>
        <v>62.5</v>
      </c>
      <c r="R17" s="132">
        <f>VLOOKUP(A17,'17_DRONE_FLYING'!B:J,9,0)</f>
        <v>51</v>
      </c>
      <c r="S17" s="132">
        <f>VLOOKUP(A17,'18_112_TABS'!B:H,6,0)</f>
        <v>100</v>
      </c>
      <c r="T17" s="132">
        <f>VLOOKUP(A17,'19_DIAL100_RES'!B:H,6,0)</f>
        <v>100</v>
      </c>
      <c r="U17" s="132">
        <f>VLOOKUP(A17,'20_CCTV_360'!B:S,17,0)</f>
        <v>50</v>
      </c>
      <c r="V17" s="132">
        <f>VLOOKUP(A17,'21_NEWS360AI'!B:D,2,0)</f>
        <v>0</v>
      </c>
      <c r="W17" s="132">
        <f>VLOOKUP(A17,'22_eFSL'!B:F,4,0)</f>
        <v>100</v>
      </c>
      <c r="X17" s="132">
        <f>VLOOKUP(A17,'23_UC3'!B:D,2,0)</f>
        <v>0</v>
      </c>
      <c r="Y17" s="132">
        <f>VLOOKUP(A17,'23_UC4'!B:D,3,0)</f>
        <v>0</v>
      </c>
    </row>
    <row r="18" spans="1:25" s="17" customFormat="1" ht="25.95" customHeight="1">
      <c r="A18" s="124" t="s">
        <v>163</v>
      </c>
      <c r="B18" s="132" t="str">
        <f>VLOOKUP(A18,'1_MEDLEAPR_PME'!B:H,6,0)</f>
        <v>100.00</v>
      </c>
      <c r="C18" s="132" t="str">
        <f>VLOOKUP(A18,'2_MEDLEAPR_MLC'!B:I,6,0)</f>
        <v>100.00</v>
      </c>
      <c r="D18" s="132">
        <f>VLOOKUP(A18,'3_NATGRID'!B:H,6,0)</f>
        <v>0</v>
      </c>
      <c r="E18" s="132">
        <f>VLOOKUP(A18,'4_DGP_DASH'!B:E,3,0)</f>
        <v>100</v>
      </c>
      <c r="F18" s="132">
        <f>VLOOKUP(A18,'5_CCTNS_TILL'!B:P,13,0)</f>
        <v>100</v>
      </c>
      <c r="G18" s="132">
        <f>VLOOKUP(A18,'6_CCTNS_1_7'!B:P,13,0)</f>
        <v>100</v>
      </c>
      <c r="H18" s="132">
        <f>VLOOKUP(A18,'7_CCTNS_8_15'!B:M,11,0)</f>
        <v>0</v>
      </c>
      <c r="I18" s="132">
        <f>VLOOKUP(A18,'8_ZERO_FIRS'!B:H,6,0)</f>
        <v>100</v>
      </c>
      <c r="J18" s="132">
        <f>VLOOKUP(A18,'9_CITIZEN_PORTAL'!B:H,6,0)</f>
        <v>100</v>
      </c>
      <c r="K18" s="132">
        <f>VLOOKUP(A18,'10_ESAKSHYA'!B:L,6,0)</f>
        <v>33.093525179856115</v>
      </c>
      <c r="L18" s="132">
        <f>VLOOKUP(A18,'11_CRIMAC'!B:F,4,0)</f>
        <v>100</v>
      </c>
      <c r="M18" s="132">
        <f>VLOOKUP(A18,'12_CEIR'!B:L,10,0)</f>
        <v>50</v>
      </c>
      <c r="N18" s="132">
        <f>VLOOKUP(A18,'13_EPROSEC'!B:H,4,0)</f>
        <v>50</v>
      </c>
      <c r="O18" s="132">
        <f>VLOOKUP(A18,'14_FIR_CS_COURT'!B:L,11,0)</f>
        <v>74.087591240875909</v>
      </c>
      <c r="P18" s="132">
        <f>VLOOKUP(A18,'15_EOFFICE'!B:K,9,0)</f>
        <v>100</v>
      </c>
      <c r="Q18" s="132">
        <f>VLOOKUP(A18,'16_APOLIS'!B:K,10,0)</f>
        <v>79.166666666666671</v>
      </c>
      <c r="R18" s="132">
        <f>VLOOKUP(A18,'17_DRONE_FLYING'!B:J,9,0)</f>
        <v>51</v>
      </c>
      <c r="S18" s="132">
        <f>VLOOKUP(A18,'18_112_TABS'!B:H,6,0)</f>
        <v>100</v>
      </c>
      <c r="T18" s="132">
        <f>VLOOKUP(A18,'19_DIAL100_RES'!B:H,6,0)</f>
        <v>50</v>
      </c>
      <c r="U18" s="132">
        <f>VLOOKUP(A18,'20_CCTV_360'!B:S,17,0)</f>
        <v>71.428571428571431</v>
      </c>
      <c r="V18" s="132">
        <f>VLOOKUP(A18,'21_NEWS360AI'!B:D,2,0)</f>
        <v>0</v>
      </c>
      <c r="W18" s="132">
        <f>VLOOKUP(A18,'22_eFSL'!B:F,4,0)</f>
        <v>100</v>
      </c>
      <c r="X18" s="132">
        <f>VLOOKUP(A18,'23_UC3'!B:D,2,0)</f>
        <v>0</v>
      </c>
      <c r="Y18" s="132">
        <f>VLOOKUP(A18,'23_UC4'!B:D,3,0)</f>
        <v>0</v>
      </c>
    </row>
    <row r="19" spans="1:25" s="17" customFormat="1" ht="25.95" customHeight="1">
      <c r="A19" s="124" t="s">
        <v>164</v>
      </c>
      <c r="B19" s="132" t="str">
        <f>VLOOKUP(A19,'1_MEDLEAPR_PME'!B:H,6,0)</f>
        <v>100.00</v>
      </c>
      <c r="C19" s="132">
        <f>VLOOKUP(A19,'2_MEDLEAPR_MLC'!B:I,6,0)</f>
        <v>100</v>
      </c>
      <c r="D19" s="132">
        <f>VLOOKUP(A19,'3_NATGRID'!B:H,6,0)</f>
        <v>0</v>
      </c>
      <c r="E19" s="132">
        <f>VLOOKUP(A19,'4_DGP_DASH'!B:E,3,0)</f>
        <v>100</v>
      </c>
      <c r="F19" s="132">
        <f>VLOOKUP(A19,'5_CCTNS_TILL'!B:P,13,0)</f>
        <v>100</v>
      </c>
      <c r="G19" s="132">
        <f>VLOOKUP(A19,'6_CCTNS_1_7'!B:P,13,0)</f>
        <v>74.39</v>
      </c>
      <c r="H19" s="132">
        <f>VLOOKUP(A19,'7_CCTNS_8_15'!B:M,11,0)</f>
        <v>0</v>
      </c>
      <c r="I19" s="132">
        <f>VLOOKUP(A19,'8_ZERO_FIRS'!B:H,6,0)</f>
        <v>100</v>
      </c>
      <c r="J19" s="132">
        <f>VLOOKUP(A19,'9_CITIZEN_PORTAL'!B:H,6,0)</f>
        <v>100</v>
      </c>
      <c r="K19" s="132">
        <f>VLOOKUP(A19,'10_ESAKSHYA'!B:L,6,0)</f>
        <v>74.670184696569919</v>
      </c>
      <c r="L19" s="132">
        <f>VLOOKUP(A19,'11_CRIMAC'!B:F,4,0)</f>
        <v>100</v>
      </c>
      <c r="M19" s="132">
        <f>VLOOKUP(A19,'12_CEIR'!B:L,10,0)</f>
        <v>83.333333333333329</v>
      </c>
      <c r="N19" s="132">
        <f>VLOOKUP(A19,'13_EPROSEC'!B:H,4,0)</f>
        <v>50</v>
      </c>
      <c r="O19" s="132">
        <f>VLOOKUP(A19,'14_FIR_CS_COURT'!B:L,11,0)</f>
        <v>85.063480209111276</v>
      </c>
      <c r="P19" s="132">
        <f>VLOOKUP(A19,'15_EOFFICE'!B:K,9,0)</f>
        <v>100</v>
      </c>
      <c r="Q19" s="132">
        <f>VLOOKUP(A19,'16_APOLIS'!B:K,10,0)</f>
        <v>62.5</v>
      </c>
      <c r="R19" s="132">
        <f>VLOOKUP(A19,'17_DRONE_FLYING'!B:J,9,0)</f>
        <v>51</v>
      </c>
      <c r="S19" s="132">
        <f>VLOOKUP(A19,'18_112_TABS'!B:H,6,0)</f>
        <v>100</v>
      </c>
      <c r="T19" s="132">
        <f>VLOOKUP(A19,'19_DIAL100_RES'!B:H,6,0)</f>
        <v>68.934240362811792</v>
      </c>
      <c r="U19" s="132">
        <f>VLOOKUP(A19,'20_CCTV_360'!B:S,17,0)</f>
        <v>50</v>
      </c>
      <c r="V19" s="132">
        <f>VLOOKUP(A19,'21_NEWS360AI'!B:D,2,0)</f>
        <v>0</v>
      </c>
      <c r="W19" s="132">
        <f>VLOOKUP(A19,'22_eFSL'!B:F,4,0)</f>
        <v>100</v>
      </c>
      <c r="X19" s="132">
        <f>VLOOKUP(A19,'23_UC3'!B:D,2,0)</f>
        <v>0</v>
      </c>
      <c r="Y19" s="132">
        <f>VLOOKUP(A19,'23_UC4'!B:D,3,0)</f>
        <v>0</v>
      </c>
    </row>
    <row r="20" spans="1:25" s="17" customFormat="1" ht="25.95" customHeight="1">
      <c r="A20" s="124" t="s">
        <v>165</v>
      </c>
      <c r="B20" s="132" t="str">
        <f>VLOOKUP(A20,'1_MEDLEAPR_PME'!B:H,6,0)</f>
        <v>100.00</v>
      </c>
      <c r="C20" s="132" t="str">
        <f>VLOOKUP(A20,'2_MEDLEAPR_MLC'!B:I,6,0)</f>
        <v>100.00</v>
      </c>
      <c r="D20" s="132">
        <f>VLOOKUP(A20,'3_NATGRID'!B:H,6,0)</f>
        <v>0</v>
      </c>
      <c r="E20" s="132">
        <f>VLOOKUP(A20,'4_DGP_DASH'!B:E,3,0)</f>
        <v>100</v>
      </c>
      <c r="F20" s="132">
        <f>VLOOKUP(A20,'5_CCTNS_TILL'!B:P,13,0)</f>
        <v>98.3</v>
      </c>
      <c r="G20" s="132">
        <f>VLOOKUP(A20,'6_CCTNS_1_7'!B:P,13,0)</f>
        <v>74.39</v>
      </c>
      <c r="H20" s="132">
        <f>VLOOKUP(A20,'7_CCTNS_8_15'!B:M,11,0)</f>
        <v>0</v>
      </c>
      <c r="I20" s="132">
        <f>VLOOKUP(A20,'8_ZERO_FIRS'!B:H,6,0)</f>
        <v>100</v>
      </c>
      <c r="J20" s="132">
        <f>VLOOKUP(A20,'9_CITIZEN_PORTAL'!B:H,6,0)</f>
        <v>100</v>
      </c>
      <c r="K20" s="132">
        <f>VLOOKUP(A20,'10_ESAKSHYA'!B:L,6,0)</f>
        <v>52.705882352941174</v>
      </c>
      <c r="L20" s="132">
        <f>VLOOKUP(A20,'11_CRIMAC'!B:F,4,0)</f>
        <v>100</v>
      </c>
      <c r="M20" s="132">
        <f>VLOOKUP(A20,'12_CEIR'!B:L,10,0)</f>
        <v>58.001893939393938</v>
      </c>
      <c r="N20" s="132">
        <f>VLOOKUP(A20,'13_EPROSEC'!B:H,4,0)</f>
        <v>100</v>
      </c>
      <c r="O20" s="132">
        <f>VLOOKUP(A20,'14_FIR_CS_COURT'!B:L,11,0)</f>
        <v>68.399295201951745</v>
      </c>
      <c r="P20" s="132">
        <f>VLOOKUP(A20,'15_EOFFICE'!B:K,9,0)</f>
        <v>100</v>
      </c>
      <c r="Q20" s="132">
        <f>VLOOKUP(A20,'16_APOLIS'!B:K,10,0)</f>
        <v>66.666666666666671</v>
      </c>
      <c r="R20" s="132">
        <f>VLOOKUP(A20,'17_DRONE_FLYING'!B:J,9,0)</f>
        <v>51</v>
      </c>
      <c r="S20" s="132">
        <f>VLOOKUP(A20,'18_112_TABS'!B:H,6,0)</f>
        <v>75</v>
      </c>
      <c r="T20" s="132">
        <f>VLOOKUP(A20,'19_DIAL100_RES'!B:H,6,0)</f>
        <v>77.32426303854875</v>
      </c>
      <c r="U20" s="132">
        <f>VLOOKUP(A20,'20_CCTV_360'!B:S,17,0)</f>
        <v>71.428571428571431</v>
      </c>
      <c r="V20" s="132">
        <f>VLOOKUP(A20,'21_NEWS360AI'!B:D,2,0)</f>
        <v>0</v>
      </c>
      <c r="W20" s="132">
        <f>VLOOKUP(A20,'22_eFSL'!B:F,4,0)</f>
        <v>100</v>
      </c>
      <c r="X20" s="132">
        <f>VLOOKUP(A20,'23_UC3'!B:D,2,0)</f>
        <v>0</v>
      </c>
      <c r="Y20" s="132">
        <f>VLOOKUP(A20,'23_UC4'!B:D,3,0)</f>
        <v>0</v>
      </c>
    </row>
    <row r="21" spans="1:25" s="17" customFormat="1" ht="25.95" customHeight="1">
      <c r="A21" s="124" t="s">
        <v>166</v>
      </c>
      <c r="B21" s="132">
        <f>VLOOKUP(A21,'1_MEDLEAPR_PME'!B:H,6,0)</f>
        <v>100</v>
      </c>
      <c r="C21" s="132" t="str">
        <f>VLOOKUP(A21,'2_MEDLEAPR_MLC'!B:I,6,0)</f>
        <v>100.00</v>
      </c>
      <c r="D21" s="132">
        <f>VLOOKUP(A21,'3_NATGRID'!B:H,6,0)</f>
        <v>0</v>
      </c>
      <c r="E21" s="132">
        <f>VLOOKUP(A21,'4_DGP_DASH'!B:E,3,0)</f>
        <v>100</v>
      </c>
      <c r="F21" s="132">
        <f>VLOOKUP(A21,'5_CCTNS_TILL'!B:P,13,0)</f>
        <v>100</v>
      </c>
      <c r="G21" s="132">
        <f>VLOOKUP(A21,'6_CCTNS_1_7'!B:P,13,0)</f>
        <v>91.39</v>
      </c>
      <c r="H21" s="132">
        <f>VLOOKUP(A21,'7_CCTNS_8_15'!B:M,11,0)</f>
        <v>0</v>
      </c>
      <c r="I21" s="132">
        <f>VLOOKUP(A21,'8_ZERO_FIRS'!B:H,6,0)</f>
        <v>100</v>
      </c>
      <c r="J21" s="132">
        <f>VLOOKUP(A21,'9_CITIZEN_PORTAL'!B:H,6,0)</f>
        <v>100</v>
      </c>
      <c r="K21" s="132">
        <f>VLOOKUP(A21,'10_ESAKSHYA'!B:L,6,0)</f>
        <v>88.950276243093924</v>
      </c>
      <c r="L21" s="132">
        <f>VLOOKUP(A21,'11_CRIMAC'!B:F,4,0)</f>
        <v>100</v>
      </c>
      <c r="M21" s="132">
        <f>VLOOKUP(A21,'12_CEIR'!B:L,10,0)</f>
        <v>47.945205479452049</v>
      </c>
      <c r="N21" s="132">
        <f>VLOOKUP(A21,'13_EPROSEC'!B:H,4,0)</f>
        <v>100</v>
      </c>
      <c r="O21" s="132">
        <f>VLOOKUP(A21,'14_FIR_CS_COURT'!B:L,11,0)</f>
        <v>83.758369066425942</v>
      </c>
      <c r="P21" s="132">
        <f>VLOOKUP(A21,'15_EOFFICE'!B:K,9,0)</f>
        <v>100</v>
      </c>
      <c r="Q21" s="132">
        <f>VLOOKUP(A21,'16_APOLIS'!B:K,10,0)</f>
        <v>62.5</v>
      </c>
      <c r="R21" s="132">
        <f>VLOOKUP(A21,'17_DRONE_FLYING'!B:J,9,0)</f>
        <v>51</v>
      </c>
      <c r="S21" s="132">
        <f>VLOOKUP(A21,'18_112_TABS'!B:H,6,0)</f>
        <v>100</v>
      </c>
      <c r="T21" s="132">
        <f>VLOOKUP(A21,'19_DIAL100_RES'!B:H,6,0)</f>
        <v>91.383219954648524</v>
      </c>
      <c r="U21" s="132">
        <f>VLOOKUP(A21,'20_CCTV_360'!B:S,17,0)</f>
        <v>42.857142857142854</v>
      </c>
      <c r="V21" s="132">
        <f>VLOOKUP(A21,'21_NEWS360AI'!B:D,2,0)</f>
        <v>0</v>
      </c>
      <c r="W21" s="132">
        <f>VLOOKUP(A21,'22_eFSL'!B:F,4,0)</f>
        <v>100</v>
      </c>
      <c r="X21" s="132">
        <f>VLOOKUP(A21,'23_UC3'!B:D,2,0)</f>
        <v>0</v>
      </c>
      <c r="Y21" s="132">
        <f>VLOOKUP(A21,'23_UC4'!B:D,3,0)</f>
        <v>0</v>
      </c>
    </row>
    <row r="22" spans="1:25" s="17" customFormat="1" ht="25.95" customHeight="1">
      <c r="A22" s="124" t="s">
        <v>167</v>
      </c>
      <c r="B22" s="132">
        <f>VLOOKUP(A22,'1_MEDLEAPR_PME'!B:H,6,0)</f>
        <v>100</v>
      </c>
      <c r="C22" s="132">
        <f>VLOOKUP(A22,'2_MEDLEAPR_MLC'!B:I,6,0)</f>
        <v>100</v>
      </c>
      <c r="D22" s="132">
        <f>VLOOKUP(A22,'3_NATGRID'!B:H,6,0)</f>
        <v>0</v>
      </c>
      <c r="E22" s="132">
        <f>VLOOKUP(A22,'4_DGP_DASH'!B:E,3,0)</f>
        <v>100</v>
      </c>
      <c r="F22" s="132">
        <f>VLOOKUP(A22,'5_CCTNS_TILL'!B:P,13,0)</f>
        <v>100</v>
      </c>
      <c r="G22" s="132">
        <f>VLOOKUP(A22,'6_CCTNS_1_7'!B:P,13,0)</f>
        <v>74.39</v>
      </c>
      <c r="H22" s="132">
        <f>VLOOKUP(A22,'7_CCTNS_8_15'!B:M,11,0)</f>
        <v>0</v>
      </c>
      <c r="I22" s="132">
        <f>VLOOKUP(A22,'8_ZERO_FIRS'!B:H,6,0)</f>
        <v>100</v>
      </c>
      <c r="J22" s="132">
        <f>VLOOKUP(A22,'9_CITIZEN_PORTAL'!B:H,6,0)</f>
        <v>100</v>
      </c>
      <c r="K22" s="132">
        <f>VLOOKUP(A22,'10_ESAKSHYA'!B:L,6,0)</f>
        <v>68.325791855203619</v>
      </c>
      <c r="L22" s="132">
        <f>VLOOKUP(A22,'11_CRIMAC'!B:F,4,0)</f>
        <v>100</v>
      </c>
      <c r="M22" s="132">
        <f>VLOOKUP(A22,'12_CEIR'!B:L,10,0)</f>
        <v>64.81481481481481</v>
      </c>
      <c r="N22" s="132">
        <f>VLOOKUP(A22,'13_EPROSEC'!B:H,4,0)</f>
        <v>0</v>
      </c>
      <c r="O22" s="132">
        <f>VLOOKUP(A22,'14_FIR_CS_COURT'!B:L,11,0)</f>
        <v>75.526881720430111</v>
      </c>
      <c r="P22" s="132">
        <f>VLOOKUP(A22,'15_EOFFICE'!B:K,9,0)</f>
        <v>100</v>
      </c>
      <c r="Q22" s="132">
        <f>VLOOKUP(A22,'16_APOLIS'!B:K,10,0)</f>
        <v>62.5</v>
      </c>
      <c r="R22" s="132">
        <f>VLOOKUP(A22,'17_DRONE_FLYING'!B:J,9,0)</f>
        <v>54</v>
      </c>
      <c r="S22" s="132">
        <f>VLOOKUP(A22,'18_112_TABS'!B:H,6,0)</f>
        <v>100</v>
      </c>
      <c r="T22" s="132">
        <f>VLOOKUP(A22,'19_DIAL100_RES'!B:H,6,0)</f>
        <v>92.063492063492063</v>
      </c>
      <c r="U22" s="132">
        <f>VLOOKUP(A22,'20_CCTV_360'!B:S,17,0)</f>
        <v>42.857142857142854</v>
      </c>
      <c r="V22" s="132">
        <f>VLOOKUP(A22,'21_NEWS360AI'!B:D,2,0)</f>
        <v>0</v>
      </c>
      <c r="W22" s="132">
        <f>VLOOKUP(A22,'22_eFSL'!B:F,4,0)</f>
        <v>100</v>
      </c>
      <c r="X22" s="132">
        <f>VLOOKUP(A22,'23_UC3'!B:D,2,0)</f>
        <v>0</v>
      </c>
      <c r="Y22" s="132">
        <f>VLOOKUP(A22,'23_UC4'!B:D,3,0)</f>
        <v>0</v>
      </c>
    </row>
    <row r="23" spans="1:25" s="17" customFormat="1" ht="25.95" customHeight="1">
      <c r="A23" s="124" t="s">
        <v>168</v>
      </c>
      <c r="B23" s="132">
        <f>VLOOKUP(A23,'1_MEDLEAPR_PME'!B:H,6,0)</f>
        <v>100</v>
      </c>
      <c r="C23" s="132">
        <f>VLOOKUP(A23,'2_MEDLEAPR_MLC'!B:I,6,0)</f>
        <v>100</v>
      </c>
      <c r="D23" s="132">
        <f>VLOOKUP(A23,'3_NATGRID'!B:H,6,0)</f>
        <v>0</v>
      </c>
      <c r="E23" s="132">
        <f>VLOOKUP(A23,'4_DGP_DASH'!B:E,3,0)</f>
        <v>100</v>
      </c>
      <c r="F23" s="132">
        <f>VLOOKUP(A23,'5_CCTNS_TILL'!B:P,13,0)</f>
        <v>84.69</v>
      </c>
      <c r="G23" s="132">
        <f>VLOOKUP(A23,'6_CCTNS_1_7'!B:P,13,0)</f>
        <v>74.39</v>
      </c>
      <c r="H23" s="132">
        <f>VLOOKUP(A23,'7_CCTNS_8_15'!B:M,11,0)</f>
        <v>0</v>
      </c>
      <c r="I23" s="132">
        <f>VLOOKUP(A23,'8_ZERO_FIRS'!B:H,6,0)</f>
        <v>100</v>
      </c>
      <c r="J23" s="132">
        <f>VLOOKUP(A23,'9_CITIZEN_PORTAL'!B:H,6,0)</f>
        <v>100</v>
      </c>
      <c r="K23" s="132">
        <f>VLOOKUP(A23,'10_ESAKSHYA'!B:L,6,0)</f>
        <v>37.951807228915662</v>
      </c>
      <c r="L23" s="132">
        <f>VLOOKUP(A23,'11_CRIMAC'!B:F,4,0)</f>
        <v>100</v>
      </c>
      <c r="M23" s="132">
        <f>VLOOKUP(A23,'12_CEIR'!B:L,10,0)</f>
        <v>62.777366863905328</v>
      </c>
      <c r="N23" s="132">
        <f>VLOOKUP(A23,'13_EPROSEC'!B:H,4,0)</f>
        <v>100</v>
      </c>
      <c r="O23" s="132">
        <f>VLOOKUP(A23,'14_FIR_CS_COURT'!B:L,11,0)</f>
        <v>82.303113553113548</v>
      </c>
      <c r="P23" s="132">
        <f>VLOOKUP(A23,'15_EOFFICE'!B:K,9,0)</f>
        <v>100</v>
      </c>
      <c r="Q23" s="132">
        <f>VLOOKUP(A23,'16_APOLIS'!B:K,10,0)</f>
        <v>62.962962962962962</v>
      </c>
      <c r="R23" s="132">
        <f>VLOOKUP(A23,'17_DRONE_FLYING'!B:J,9,0)</f>
        <v>58</v>
      </c>
      <c r="S23" s="132">
        <f>VLOOKUP(A23,'18_112_TABS'!B:H,6,0)</f>
        <v>100</v>
      </c>
      <c r="T23" s="132">
        <f>VLOOKUP(A23,'19_DIAL100_RES'!B:H,6,0)</f>
        <v>69.841269841269849</v>
      </c>
      <c r="U23" s="132">
        <f>VLOOKUP(A23,'20_CCTV_360'!B:S,17,0)</f>
        <v>85.714285714285708</v>
      </c>
      <c r="V23" s="132">
        <f>VLOOKUP(A23,'21_NEWS360AI'!B:D,2,0)</f>
        <v>0</v>
      </c>
      <c r="W23" s="132">
        <f>VLOOKUP(A23,'22_eFSL'!B:F,4,0)</f>
        <v>100</v>
      </c>
      <c r="X23" s="132">
        <f>VLOOKUP(A23,'23_UC3'!B:D,2,0)</f>
        <v>0</v>
      </c>
      <c r="Y23" s="132">
        <f>VLOOKUP(A23,'23_UC4'!B:D,3,0)</f>
        <v>0</v>
      </c>
    </row>
    <row r="24" spans="1:25" s="17" customFormat="1" ht="25.95" customHeight="1">
      <c r="A24" s="124" t="s">
        <v>169</v>
      </c>
      <c r="B24" s="132" t="str">
        <f>VLOOKUP(A24,'1_MEDLEAPR_PME'!B:H,6,0)</f>
        <v>100.00</v>
      </c>
      <c r="C24" s="132" t="str">
        <f>VLOOKUP(A24,'2_MEDLEAPR_MLC'!B:I,6,0)</f>
        <v>100.00</v>
      </c>
      <c r="D24" s="132">
        <f>VLOOKUP(A24,'3_NATGRID'!B:H,6,0)</f>
        <v>0</v>
      </c>
      <c r="E24" s="132">
        <f>VLOOKUP(A24,'4_DGP_DASH'!B:E,3,0)</f>
        <v>100</v>
      </c>
      <c r="F24" s="132">
        <f>VLOOKUP(A24,'5_CCTNS_TILL'!B:P,13,0)</f>
        <v>84.07</v>
      </c>
      <c r="G24" s="132">
        <f>VLOOKUP(A24,'6_CCTNS_1_7'!B:P,13,0)</f>
        <v>100</v>
      </c>
      <c r="H24" s="132">
        <f>VLOOKUP(A24,'7_CCTNS_8_15'!B:M,11,0)</f>
        <v>0</v>
      </c>
      <c r="I24" s="132">
        <f>VLOOKUP(A24,'8_ZERO_FIRS'!B:H,6,0)</f>
        <v>100</v>
      </c>
      <c r="J24" s="132">
        <f>VLOOKUP(A24,'9_CITIZEN_PORTAL'!B:H,6,0)</f>
        <v>100</v>
      </c>
      <c r="K24" s="132">
        <f>VLOOKUP(A24,'10_ESAKSHYA'!B:L,6,0)</f>
        <v>34.42622950819672</v>
      </c>
      <c r="L24" s="132">
        <f>VLOOKUP(A24,'11_CRIMAC'!B:F,4,0)</f>
        <v>100</v>
      </c>
      <c r="M24" s="132">
        <f>VLOOKUP(A24,'12_CEIR'!B:L,10,0)</f>
        <v>65.241228070175424</v>
      </c>
      <c r="N24" s="132">
        <f>VLOOKUP(A24,'13_EPROSEC'!B:H,4,0)</f>
        <v>20</v>
      </c>
      <c r="O24" s="132">
        <f>VLOOKUP(A24,'14_FIR_CS_COURT'!B:L,11,0)</f>
        <v>76.914943609022558</v>
      </c>
      <c r="P24" s="132">
        <f>VLOOKUP(A24,'15_EOFFICE'!B:K,9,0)</f>
        <v>100</v>
      </c>
      <c r="Q24" s="132">
        <f>VLOOKUP(A24,'16_APOLIS'!B:K,10,0)</f>
        <v>62.5</v>
      </c>
      <c r="R24" s="132">
        <f>VLOOKUP(A24,'17_DRONE_FLYING'!B:J,9,0)</f>
        <v>51</v>
      </c>
      <c r="S24" s="132">
        <f>VLOOKUP(A24,'18_112_TABS'!B:H,6,0)</f>
        <v>100</v>
      </c>
      <c r="T24" s="132">
        <f>VLOOKUP(A24,'19_DIAL100_RES'!B:H,6,0)</f>
        <v>55.55555555555555</v>
      </c>
      <c r="U24" s="132">
        <f>VLOOKUP(A24,'20_CCTV_360'!B:S,17,0)</f>
        <v>64.285714285714292</v>
      </c>
      <c r="V24" s="132">
        <f>VLOOKUP(A24,'21_NEWS360AI'!B:D,2,0)</f>
        <v>0</v>
      </c>
      <c r="W24" s="132">
        <f>VLOOKUP(A24,'22_eFSL'!B:F,4,0)</f>
        <v>100</v>
      </c>
      <c r="X24" s="132">
        <f>VLOOKUP(A24,'23_UC3'!B:D,2,0)</f>
        <v>0</v>
      </c>
      <c r="Y24" s="132">
        <f>VLOOKUP(A24,'23_UC4'!B:D,3,0)</f>
        <v>0</v>
      </c>
    </row>
    <row r="25" spans="1:25" s="17" customFormat="1" ht="25.95" customHeight="1">
      <c r="A25" s="124" t="s">
        <v>170</v>
      </c>
      <c r="B25" s="132">
        <f>VLOOKUP(A25,'1_MEDLEAPR_PME'!B:H,6,0)</f>
        <v>100</v>
      </c>
      <c r="C25" s="132">
        <f>VLOOKUP(A25,'2_MEDLEAPR_MLC'!B:I,6,0)</f>
        <v>100</v>
      </c>
      <c r="D25" s="132">
        <f>VLOOKUP(A25,'3_NATGRID'!B:H,6,0)</f>
        <v>0</v>
      </c>
      <c r="E25" s="132">
        <f>VLOOKUP(A25,'4_DGP_DASH'!B:E,3,0)</f>
        <v>100</v>
      </c>
      <c r="F25" s="132">
        <f>VLOOKUP(A25,'5_CCTNS_TILL'!B:P,13,0)</f>
        <v>100</v>
      </c>
      <c r="G25" s="132">
        <f>VLOOKUP(A25,'6_CCTNS_1_7'!B:P,13,0)</f>
        <v>100</v>
      </c>
      <c r="H25" s="132">
        <f>VLOOKUP(A25,'7_CCTNS_8_15'!B:M,11,0)</f>
        <v>0</v>
      </c>
      <c r="I25" s="132">
        <f>VLOOKUP(A25,'8_ZERO_FIRS'!B:H,6,0)</f>
        <v>100</v>
      </c>
      <c r="J25" s="132">
        <f>VLOOKUP(A25,'9_CITIZEN_PORTAL'!B:H,6,0)</f>
        <v>100</v>
      </c>
      <c r="K25" s="132">
        <f>VLOOKUP(A25,'10_ESAKSHYA'!B:L,6,0)</f>
        <v>38.383838383838381</v>
      </c>
      <c r="L25" s="132">
        <f>VLOOKUP(A25,'11_CRIMAC'!B:F,4,0)</f>
        <v>100</v>
      </c>
      <c r="M25" s="132">
        <f>VLOOKUP(A25,'12_CEIR'!B:L,10,0)</f>
        <v>64.732142857142847</v>
      </c>
      <c r="N25" s="132">
        <f>VLOOKUP(A25,'13_EPROSEC'!B:H,4,0)</f>
        <v>20</v>
      </c>
      <c r="O25" s="132">
        <f>VLOOKUP(A25,'14_FIR_CS_COURT'!B:L,11,0)</f>
        <v>67.800190718815031</v>
      </c>
      <c r="P25" s="132">
        <f>VLOOKUP(A25,'15_EOFFICE'!B:K,9,0)</f>
        <v>100</v>
      </c>
      <c r="Q25" s="132">
        <f>VLOOKUP(A25,'16_APOLIS'!B:K,10,0)</f>
        <v>60.810810810810807</v>
      </c>
      <c r="R25" s="132">
        <f>VLOOKUP(A25,'17_DRONE_FLYING'!B:J,9,0)</f>
        <v>61</v>
      </c>
      <c r="S25" s="132">
        <f>VLOOKUP(A25,'18_112_TABS'!B:H,6,0)</f>
        <v>100</v>
      </c>
      <c r="T25" s="132">
        <f>VLOOKUP(A25,'19_DIAL100_RES'!B:H,6,0)</f>
        <v>34.467120181405903</v>
      </c>
      <c r="U25" s="132">
        <f>VLOOKUP(A25,'20_CCTV_360'!B:S,17,0)</f>
        <v>57.142857142857139</v>
      </c>
      <c r="V25" s="132">
        <f>VLOOKUP(A25,'21_NEWS360AI'!B:D,2,0)</f>
        <v>0</v>
      </c>
      <c r="W25" s="132">
        <f>VLOOKUP(A25,'22_eFSL'!B:F,4,0)</f>
        <v>100</v>
      </c>
      <c r="X25" s="132">
        <f>VLOOKUP(A25,'23_UC3'!B:D,2,0)</f>
        <v>0</v>
      </c>
      <c r="Y25" s="132">
        <f>VLOOKUP(A25,'23_UC4'!B:D,3,0)</f>
        <v>0</v>
      </c>
    </row>
    <row r="26" spans="1:25" s="17" customFormat="1" ht="25.95" customHeight="1">
      <c r="A26" s="124" t="s">
        <v>171</v>
      </c>
      <c r="B26" s="132">
        <f>VLOOKUP(A26,'1_MEDLEAPR_PME'!B:H,6,0)</f>
        <v>100</v>
      </c>
      <c r="C26" s="132">
        <f>VLOOKUP(A26,'2_MEDLEAPR_MLC'!B:I,6,0)</f>
        <v>100</v>
      </c>
      <c r="D26" s="132">
        <f>VLOOKUP(A26,'3_NATGRID'!B:H,6,0)</f>
        <v>0</v>
      </c>
      <c r="E26" s="132">
        <f>VLOOKUP(A26,'4_DGP_DASH'!B:E,3,0)</f>
        <v>100</v>
      </c>
      <c r="F26" s="132">
        <f>VLOOKUP(A26,'5_CCTNS_TILL'!B:P,13,0)</f>
        <v>100</v>
      </c>
      <c r="G26" s="132">
        <f>VLOOKUP(A26,'6_CCTNS_1_7'!B:P,13,0)</f>
        <v>89.27</v>
      </c>
      <c r="H26" s="132">
        <f>VLOOKUP(A26,'7_CCTNS_8_15'!B:M,11,0)</f>
        <v>0</v>
      </c>
      <c r="I26" s="132">
        <f>VLOOKUP(A26,'8_ZERO_FIRS'!B:H,6,0)</f>
        <v>100</v>
      </c>
      <c r="J26" s="132">
        <f>VLOOKUP(A26,'9_CITIZEN_PORTAL'!B:H,6,0)</f>
        <v>100</v>
      </c>
      <c r="K26" s="132">
        <f>VLOOKUP(A26,'10_ESAKSHYA'!B:L,6,0)</f>
        <v>61.772486772486772</v>
      </c>
      <c r="L26" s="132">
        <f>VLOOKUP(A26,'11_CRIMAC'!B:F,4,0)</f>
        <v>100</v>
      </c>
      <c r="M26" s="132">
        <f>VLOOKUP(A26,'12_CEIR'!B:L,10,0)</f>
        <v>54.012345679012341</v>
      </c>
      <c r="N26" s="132">
        <f>VLOOKUP(A26,'13_EPROSEC'!B:H,4,0)</f>
        <v>25</v>
      </c>
      <c r="O26" s="132">
        <f>VLOOKUP(A26,'14_FIR_CS_COURT'!B:L,11,0)</f>
        <v>73.034966809014406</v>
      </c>
      <c r="P26" s="132">
        <f>VLOOKUP(A26,'15_EOFFICE'!B:K,9,0)</f>
        <v>100</v>
      </c>
      <c r="Q26" s="132">
        <f>VLOOKUP(A26,'16_APOLIS'!B:K,10,0)</f>
        <v>67.64705882352942</v>
      </c>
      <c r="R26" s="132">
        <f>VLOOKUP(A26,'17_DRONE_FLYING'!B:J,9,0)</f>
        <v>58</v>
      </c>
      <c r="S26" s="132">
        <f>VLOOKUP(A26,'18_112_TABS'!B:H,6,0)</f>
        <v>100</v>
      </c>
      <c r="T26" s="132">
        <f>VLOOKUP(A26,'19_DIAL100_RES'!B:H,6,0)</f>
        <v>78.458049886621311</v>
      </c>
      <c r="U26" s="132">
        <f>VLOOKUP(A26,'20_CCTV_360'!B:S,17,0)</f>
        <v>64.285714285714292</v>
      </c>
      <c r="V26" s="132">
        <f>VLOOKUP(A26,'21_NEWS360AI'!B:D,2,0)</f>
        <v>0</v>
      </c>
      <c r="W26" s="132">
        <f>VLOOKUP(A26,'22_eFSL'!B:F,4,0)</f>
        <v>100</v>
      </c>
      <c r="X26" s="132">
        <f>VLOOKUP(A26,'23_UC3'!B:D,2,0)</f>
        <v>0</v>
      </c>
      <c r="Y26" s="132">
        <f>VLOOKUP(A26,'23_UC4'!B:D,3,0)</f>
        <v>0</v>
      </c>
    </row>
    <row r="27" spans="1:25" s="17" customFormat="1" ht="25.95" customHeight="1">
      <c r="A27" s="124" t="s">
        <v>172</v>
      </c>
      <c r="B27" s="132">
        <f>VLOOKUP(A27,'1_MEDLEAPR_PME'!B:H,6,0)</f>
        <v>100</v>
      </c>
      <c r="C27" s="132" t="str">
        <f>VLOOKUP(A27,'2_MEDLEAPR_MLC'!B:I,6,0)</f>
        <v>100.00</v>
      </c>
      <c r="D27" s="132">
        <f>VLOOKUP(A27,'3_NATGRID'!B:H,6,0)</f>
        <v>0</v>
      </c>
      <c r="E27" s="132">
        <f>VLOOKUP(A27,'4_DGP_DASH'!B:E,3,0)</f>
        <v>100</v>
      </c>
      <c r="F27" s="132">
        <f>VLOOKUP(A27,'5_CCTNS_TILL'!B:P,13,0)</f>
        <v>100</v>
      </c>
      <c r="G27" s="132">
        <f>VLOOKUP(A27,'6_CCTNS_1_7'!B:P,13,0)</f>
        <v>59.51</v>
      </c>
      <c r="H27" s="132">
        <f>VLOOKUP(A27,'7_CCTNS_8_15'!B:M,11,0)</f>
        <v>0</v>
      </c>
      <c r="I27" s="132">
        <f>VLOOKUP(A27,'8_ZERO_FIRS'!B:H,6,0)</f>
        <v>100</v>
      </c>
      <c r="J27" s="132">
        <f>VLOOKUP(A27,'9_CITIZEN_PORTAL'!B:H,6,0)</f>
        <v>100</v>
      </c>
      <c r="K27" s="132">
        <f>VLOOKUP(A27,'10_ESAKSHYA'!B:L,6,0)</f>
        <v>56.281407035175882</v>
      </c>
      <c r="L27" s="132">
        <f>VLOOKUP(A27,'11_CRIMAC'!B:F,4,0)</f>
        <v>100</v>
      </c>
      <c r="M27" s="132">
        <f>VLOOKUP(A27,'12_CEIR'!B:L,10,0)</f>
        <v>69.078947368421055</v>
      </c>
      <c r="N27" s="132">
        <f>VLOOKUP(A27,'13_EPROSEC'!B:H,4,0)</f>
        <v>50</v>
      </c>
      <c r="O27" s="132">
        <f>VLOOKUP(A27,'14_FIR_CS_COURT'!B:L,11,0)</f>
        <v>85.774513803889562</v>
      </c>
      <c r="P27" s="132">
        <f>VLOOKUP(A27,'15_EOFFICE'!B:K,9,0)</f>
        <v>100</v>
      </c>
      <c r="Q27" s="132">
        <f>VLOOKUP(A27,'16_APOLIS'!B:K,10,0)</f>
        <v>67.857142857142861</v>
      </c>
      <c r="R27" s="132">
        <f>VLOOKUP(A27,'17_DRONE_FLYING'!B:J,9,0)</f>
        <v>51</v>
      </c>
      <c r="S27" s="132">
        <f>VLOOKUP(A27,'18_112_TABS'!B:H,6,0)</f>
        <v>100</v>
      </c>
      <c r="T27" s="132">
        <f>VLOOKUP(A27,'19_DIAL100_RES'!B:H,6,0)</f>
        <v>54.648526077097507</v>
      </c>
      <c r="U27" s="132">
        <f>VLOOKUP(A27,'20_CCTV_360'!B:S,17,0)</f>
        <v>57.142857142857139</v>
      </c>
      <c r="V27" s="132">
        <f>VLOOKUP(A27,'21_NEWS360AI'!B:D,2,0)</f>
        <v>0</v>
      </c>
      <c r="W27" s="132">
        <f>VLOOKUP(A27,'22_eFSL'!B:F,4,0)</f>
        <v>100</v>
      </c>
      <c r="X27" s="132">
        <f>VLOOKUP(A27,'23_UC3'!B:D,2,0)</f>
        <v>0</v>
      </c>
      <c r="Y27" s="132">
        <f>VLOOKUP(A27,'23_UC4'!B:D,3,0)</f>
        <v>0</v>
      </c>
    </row>
    <row r="28" spans="1:25" s="17" customFormat="1" ht="25.95" customHeight="1">
      <c r="A28" s="124" t="s">
        <v>173</v>
      </c>
      <c r="B28" s="132" t="str">
        <f>VLOOKUP(A28,'1_MEDLEAPR_PME'!B:H,6,0)</f>
        <v>100.00</v>
      </c>
      <c r="C28" s="132" t="str">
        <f>VLOOKUP(A28,'2_MEDLEAPR_MLC'!B:I,6,0)</f>
        <v>100.00</v>
      </c>
      <c r="D28" s="132">
        <f>VLOOKUP(A28,'3_NATGRID'!B:H,6,0)</f>
        <v>0</v>
      </c>
      <c r="E28" s="132">
        <f>VLOOKUP(A28,'4_DGP_DASH'!B:E,3,0)</f>
        <v>100</v>
      </c>
      <c r="F28" s="132">
        <f>VLOOKUP(A28,'5_CCTNS_TILL'!B:P,13,0)</f>
        <v>98.97</v>
      </c>
      <c r="G28" s="132">
        <f>VLOOKUP(A28,'6_CCTNS_1_7'!B:P,13,0)</f>
        <v>50</v>
      </c>
      <c r="H28" s="132">
        <f>VLOOKUP(A28,'7_CCTNS_8_15'!B:M,11,0)</f>
        <v>0</v>
      </c>
      <c r="I28" s="132">
        <f>VLOOKUP(A28,'8_ZERO_FIRS'!B:H,6,0)</f>
        <v>100</v>
      </c>
      <c r="J28" s="132">
        <f>VLOOKUP(A28,'9_CITIZEN_PORTAL'!B:H,6,0)</f>
        <v>100</v>
      </c>
      <c r="K28" s="132">
        <f>VLOOKUP(A28,'10_ESAKSHYA'!B:L,6,0)</f>
        <v>92.626728110599075</v>
      </c>
      <c r="L28" s="132">
        <f>VLOOKUP(A28,'11_CRIMAC'!B:F,4,0)</f>
        <v>100</v>
      </c>
      <c r="M28" s="132">
        <f>VLOOKUP(A28,'12_CEIR'!B:L,10,0)</f>
        <v>56.617647058823536</v>
      </c>
      <c r="N28" s="132">
        <f>VLOOKUP(A28,'13_EPROSEC'!B:H,4,0)</f>
        <v>100</v>
      </c>
      <c r="O28" s="132">
        <f>VLOOKUP(A28,'14_FIR_CS_COURT'!B:L,11,0)</f>
        <v>82.481481481481481</v>
      </c>
      <c r="P28" s="132">
        <f>VLOOKUP(A28,'15_EOFFICE'!B:K,9,0)</f>
        <v>100</v>
      </c>
      <c r="Q28" s="132">
        <f>VLOOKUP(A28,'16_APOLIS'!B:K,10,0)</f>
        <v>62.5</v>
      </c>
      <c r="R28" s="132">
        <f>VLOOKUP(A28,'17_DRONE_FLYING'!B:J,9,0)</f>
        <v>51</v>
      </c>
      <c r="S28" s="132">
        <f>VLOOKUP(A28,'18_112_TABS'!B:H,6,0)</f>
        <v>100</v>
      </c>
      <c r="T28" s="132">
        <f>VLOOKUP(A28,'19_DIAL100_RES'!B:H,6,0)</f>
        <v>63.945578231292515</v>
      </c>
      <c r="U28" s="132">
        <f>VLOOKUP(A28,'20_CCTV_360'!B:S,17,0)</f>
        <v>57.142857142857139</v>
      </c>
      <c r="V28" s="132">
        <f>VLOOKUP(A28,'21_NEWS360AI'!B:D,2,0)</f>
        <v>0</v>
      </c>
      <c r="W28" s="132">
        <f>VLOOKUP(A28,'22_eFSL'!B:F,4,0)</f>
        <v>100</v>
      </c>
      <c r="X28" s="132">
        <f>VLOOKUP(A28,'23_UC3'!B:D,2,0)</f>
        <v>0</v>
      </c>
      <c r="Y28" s="132">
        <f>VLOOKUP(A28,'23_UC4'!B:D,3,0)</f>
        <v>0</v>
      </c>
    </row>
    <row r="29" spans="1:25" s="17" customFormat="1" ht="25.95" customHeight="1">
      <c r="A29" s="124" t="s">
        <v>174</v>
      </c>
      <c r="B29" s="132" t="str">
        <f>VLOOKUP(A29,'1_MEDLEAPR_PME'!B:H,6,0)</f>
        <v>100.00</v>
      </c>
      <c r="C29" s="132" t="str">
        <f>VLOOKUP(A29,'2_MEDLEAPR_MLC'!B:I,6,0)</f>
        <v>100.00</v>
      </c>
      <c r="D29" s="132">
        <f>VLOOKUP(A29,'3_NATGRID'!B:H,6,0)</f>
        <v>0</v>
      </c>
      <c r="E29" s="132">
        <f>VLOOKUP(A29,'4_DGP_DASH'!B:E,3,0)</f>
        <v>100</v>
      </c>
      <c r="F29" s="132">
        <f>VLOOKUP(A29,'5_CCTNS_TILL'!B:P,13,0)</f>
        <v>91.6</v>
      </c>
      <c r="G29" s="132">
        <f>VLOOKUP(A29,'6_CCTNS_1_7'!B:P,13,0)</f>
        <v>0</v>
      </c>
      <c r="H29" s="132">
        <f>VLOOKUP(A29,'7_CCTNS_8_15'!B:M,11,0)</f>
        <v>0</v>
      </c>
      <c r="I29" s="132">
        <f>VLOOKUP(A29,'8_ZERO_FIRS'!B:H,6,0)</f>
        <v>100</v>
      </c>
      <c r="J29" s="132">
        <f>VLOOKUP(A29,'9_CITIZEN_PORTAL'!B:H,6,0)</f>
        <v>100</v>
      </c>
      <c r="K29" s="132">
        <f>VLOOKUP(A29,'10_ESAKSHYA'!B:L,6,0)</f>
        <v>44.104803493449779</v>
      </c>
      <c r="L29" s="132">
        <f>VLOOKUP(A29,'11_CRIMAC'!B:F,4,0)</f>
        <v>100</v>
      </c>
      <c r="M29" s="132">
        <f>VLOOKUP(A29,'12_CEIR'!B:L,10,0)</f>
        <v>58.10546875</v>
      </c>
      <c r="N29" s="132">
        <f>VLOOKUP(A29,'13_EPROSEC'!B:H,4,0)</f>
        <v>33.333333333333336</v>
      </c>
      <c r="O29" s="132">
        <f>VLOOKUP(A29,'14_FIR_CS_COURT'!B:L,11,0)</f>
        <v>83.024691358024683</v>
      </c>
      <c r="P29" s="132">
        <f>VLOOKUP(A29,'15_EOFFICE'!B:K,9,0)</f>
        <v>100</v>
      </c>
      <c r="Q29" s="132">
        <f>VLOOKUP(A29,'16_APOLIS'!B:K,10,0)</f>
        <v>62.5</v>
      </c>
      <c r="R29" s="132">
        <f>VLOOKUP(A29,'17_DRONE_FLYING'!B:J,9,0)</f>
        <v>51</v>
      </c>
      <c r="S29" s="132">
        <f>VLOOKUP(A29,'18_112_TABS'!B:H,6,0)</f>
        <v>100</v>
      </c>
      <c r="T29" s="132">
        <f>VLOOKUP(A29,'19_DIAL100_RES'!B:H,6,0)</f>
        <v>61.904761904761898</v>
      </c>
      <c r="U29" s="132">
        <f>VLOOKUP(A29,'20_CCTV_360'!B:S,17,0)</f>
        <v>50</v>
      </c>
      <c r="V29" s="132">
        <f>VLOOKUP(A29,'21_NEWS360AI'!B:D,2,0)</f>
        <v>0</v>
      </c>
      <c r="W29" s="132">
        <f>VLOOKUP(A29,'22_eFSL'!B:F,4,0)</f>
        <v>100</v>
      </c>
      <c r="X29" s="132">
        <f>VLOOKUP(A29,'23_UC3'!B:D,2,0)</f>
        <v>0</v>
      </c>
      <c r="Y29" s="132">
        <f>VLOOKUP(A29,'23_UC4'!B:D,3,0)</f>
        <v>0</v>
      </c>
    </row>
    <row r="30" spans="1:25" s="17" customFormat="1" ht="25.95" customHeight="1">
      <c r="A30" s="124" t="s">
        <v>175</v>
      </c>
      <c r="B30" s="132" t="str">
        <f>VLOOKUP(A30,'1_MEDLEAPR_PME'!B:H,6,0)</f>
        <v>100.00</v>
      </c>
      <c r="C30" s="132">
        <f>VLOOKUP(A30,'2_MEDLEAPR_MLC'!B:I,6,0)</f>
        <v>100</v>
      </c>
      <c r="D30" s="132">
        <f>VLOOKUP(A30,'3_NATGRID'!B:H,6,0)</f>
        <v>0</v>
      </c>
      <c r="E30" s="132">
        <f>VLOOKUP(A30,'4_DGP_DASH'!B:E,3,0)</f>
        <v>100</v>
      </c>
      <c r="F30" s="132">
        <f>VLOOKUP(A30,'5_CCTNS_TILL'!B:P,13,0)</f>
        <v>75.8</v>
      </c>
      <c r="G30" s="132">
        <f>VLOOKUP(A30,'6_CCTNS_1_7'!B:P,13,0)</f>
        <v>44.63</v>
      </c>
      <c r="H30" s="132">
        <f>VLOOKUP(A30,'7_CCTNS_8_15'!B:M,11,0)</f>
        <v>0</v>
      </c>
      <c r="I30" s="132">
        <f>VLOOKUP(A30,'8_ZERO_FIRS'!B:H,6,0)</f>
        <v>100</v>
      </c>
      <c r="J30" s="132">
        <f>VLOOKUP(A30,'9_CITIZEN_PORTAL'!B:H,6,0)</f>
        <v>100</v>
      </c>
      <c r="K30" s="132">
        <f>VLOOKUP(A30,'10_ESAKSHYA'!B:L,6,0)</f>
        <v>65.301724137931032</v>
      </c>
      <c r="L30" s="132">
        <f>VLOOKUP(A30,'11_CRIMAC'!B:F,4,0)</f>
        <v>100</v>
      </c>
      <c r="M30" s="132">
        <f>VLOOKUP(A30,'12_CEIR'!B:L,10,0)</f>
        <v>53.3203125</v>
      </c>
      <c r="N30" s="132">
        <f>VLOOKUP(A30,'13_EPROSEC'!B:H,4,0)</f>
        <v>25</v>
      </c>
      <c r="O30" s="132">
        <f>VLOOKUP(A30,'14_FIR_CS_COURT'!B:L,11,0)</f>
        <v>82.536259786933641</v>
      </c>
      <c r="P30" s="132">
        <f>VLOOKUP(A30,'15_EOFFICE'!B:K,9,0)</f>
        <v>100</v>
      </c>
      <c r="Q30" s="132">
        <f>VLOOKUP(A30,'16_APOLIS'!B:K,10,0)</f>
        <v>62.5</v>
      </c>
      <c r="R30" s="132">
        <f>VLOOKUP(A30,'17_DRONE_FLYING'!B:J,9,0)</f>
        <v>54</v>
      </c>
      <c r="S30" s="132">
        <f>VLOOKUP(A30,'18_112_TABS'!B:H,6,0)</f>
        <v>100</v>
      </c>
      <c r="T30" s="132">
        <f>VLOOKUP(A30,'19_DIAL100_RES'!B:H,6,0)</f>
        <v>64.399092970521536</v>
      </c>
      <c r="U30" s="132">
        <f>VLOOKUP(A30,'20_CCTV_360'!B:S,17,0)</f>
        <v>64.285714285714292</v>
      </c>
      <c r="V30" s="132">
        <f>VLOOKUP(A30,'21_NEWS360AI'!B:D,2,0)</f>
        <v>0</v>
      </c>
      <c r="W30" s="132">
        <f>VLOOKUP(A30,'22_eFSL'!B:F,4,0)</f>
        <v>100</v>
      </c>
      <c r="X30" s="132">
        <f>VLOOKUP(A30,'23_UC3'!B:D,2,0)</f>
        <v>0</v>
      </c>
      <c r="Y30" s="132">
        <f>VLOOKUP(A30,'23_UC4'!B:D,3,0)</f>
        <v>0</v>
      </c>
    </row>
    <row r="31" spans="1:25" s="17" customFormat="1" ht="25.95" customHeight="1">
      <c r="A31" s="124" t="s">
        <v>176</v>
      </c>
      <c r="B31" s="132">
        <f>VLOOKUP(A31,'1_MEDLEAPR_PME'!B:H,6,0)</f>
        <v>100</v>
      </c>
      <c r="C31" s="132" t="str">
        <f>VLOOKUP(A31,'2_MEDLEAPR_MLC'!B:I,6,0)</f>
        <v>100.00</v>
      </c>
      <c r="D31" s="132">
        <f>VLOOKUP(A31,'3_NATGRID'!B:H,6,0)</f>
        <v>0</v>
      </c>
      <c r="E31" s="132">
        <f>VLOOKUP(A31,'4_DGP_DASH'!B:E,3,0)</f>
        <v>100</v>
      </c>
      <c r="F31" s="132">
        <f>VLOOKUP(A31,'5_CCTNS_TILL'!B:P,13,0)</f>
        <v>91.96</v>
      </c>
      <c r="G31" s="132">
        <f>VLOOKUP(A31,'6_CCTNS_1_7'!B:P,13,0)</f>
        <v>100</v>
      </c>
      <c r="H31" s="132">
        <f>VLOOKUP(A31,'7_CCTNS_8_15'!B:M,11,0)</f>
        <v>0</v>
      </c>
      <c r="I31" s="132">
        <f>VLOOKUP(A31,'8_ZERO_FIRS'!B:H,6,0)</f>
        <v>100</v>
      </c>
      <c r="J31" s="132">
        <f>VLOOKUP(A31,'9_CITIZEN_PORTAL'!B:H,6,0)</f>
        <v>100</v>
      </c>
      <c r="K31" s="132">
        <f>VLOOKUP(A31,'10_ESAKSHYA'!B:L,6,0)</f>
        <v>44.256120527306969</v>
      </c>
      <c r="L31" s="132">
        <f>VLOOKUP(A31,'11_CRIMAC'!B:F,4,0)</f>
        <v>100</v>
      </c>
      <c r="M31" s="132">
        <f>VLOOKUP(A31,'12_CEIR'!B:L,10,0)</f>
        <v>69.60227272727272</v>
      </c>
      <c r="N31" s="132">
        <f>VLOOKUP(A31,'13_EPROSEC'!B:H,4,0)</f>
        <v>100</v>
      </c>
      <c r="O31" s="132">
        <f>VLOOKUP(A31,'14_FIR_CS_COURT'!B:L,11,0)</f>
        <v>68.307765366588896</v>
      </c>
      <c r="P31" s="132">
        <f>VLOOKUP(A31,'15_EOFFICE'!B:K,9,0)</f>
        <v>100</v>
      </c>
      <c r="Q31" s="132">
        <f>VLOOKUP(A31,'16_APOLIS'!B:K,10,0)</f>
        <v>62.5</v>
      </c>
      <c r="R31" s="132">
        <f>VLOOKUP(A31,'17_DRONE_FLYING'!B:J,9,0)</f>
        <v>51</v>
      </c>
      <c r="S31" s="132">
        <f>VLOOKUP(A31,'18_112_TABS'!B:H,6,0)</f>
        <v>100</v>
      </c>
      <c r="T31" s="132">
        <f>VLOOKUP(A31,'19_DIAL100_RES'!B:H,6,0)</f>
        <v>69.16099773242631</v>
      </c>
      <c r="U31" s="132">
        <f>VLOOKUP(A31,'20_CCTV_360'!B:S,17,0)</f>
        <v>92.857142857142861</v>
      </c>
      <c r="V31" s="132">
        <f>VLOOKUP(A31,'21_NEWS360AI'!B:D,2,0)</f>
        <v>0</v>
      </c>
      <c r="W31" s="132">
        <f>VLOOKUP(A31,'22_eFSL'!B:F,4,0)</f>
        <v>33.333333333333336</v>
      </c>
      <c r="X31" s="132">
        <f>VLOOKUP(A31,'23_UC3'!B:D,2,0)</f>
        <v>0</v>
      </c>
      <c r="Y31" s="132">
        <f>VLOOKUP(A31,'23_UC4'!B:D,3,0)</f>
        <v>0</v>
      </c>
    </row>
    <row r="32" spans="1:25" s="17" customFormat="1" ht="25.95" customHeight="1">
      <c r="A32" s="124" t="s">
        <v>177</v>
      </c>
      <c r="B32" s="132" t="str">
        <f>VLOOKUP(A32,'1_MEDLEAPR_PME'!B:H,6,0)</f>
        <v>100.00</v>
      </c>
      <c r="C32" s="132" t="str">
        <f>VLOOKUP(A32,'2_MEDLEAPR_MLC'!B:I,6,0)</f>
        <v>100.00</v>
      </c>
      <c r="D32" s="132">
        <f>VLOOKUP(A32,'3_NATGRID'!B:H,6,0)</f>
        <v>0</v>
      </c>
      <c r="E32" s="132">
        <f>VLOOKUP(A32,'4_DGP_DASH'!B:E,3,0)</f>
        <v>100</v>
      </c>
      <c r="F32" s="132">
        <f>VLOOKUP(A32,'5_CCTNS_TILL'!B:P,13,0)</f>
        <v>88.37</v>
      </c>
      <c r="G32" s="132">
        <f>VLOOKUP(A32,'6_CCTNS_1_7'!B:P,13,0)</f>
        <v>89.27</v>
      </c>
      <c r="H32" s="132">
        <f>VLOOKUP(A32,'7_CCTNS_8_15'!B:M,11,0)</f>
        <v>0</v>
      </c>
      <c r="I32" s="132">
        <f>VLOOKUP(A32,'8_ZERO_FIRS'!B:H,6,0)</f>
        <v>100</v>
      </c>
      <c r="J32" s="132">
        <f>VLOOKUP(A32,'9_CITIZEN_PORTAL'!B:H,6,0)</f>
        <v>100</v>
      </c>
      <c r="K32" s="132">
        <f>VLOOKUP(A32,'10_ESAKSHYA'!B:L,6,0)</f>
        <v>61.490683229813662</v>
      </c>
      <c r="L32" s="132">
        <f>VLOOKUP(A32,'11_CRIMAC'!B:F,4,0)</f>
        <v>100</v>
      </c>
      <c r="M32" s="132">
        <f>VLOOKUP(A32,'12_CEIR'!B:L,10,0)</f>
        <v>54.6875</v>
      </c>
      <c r="N32" s="132">
        <f>VLOOKUP(A32,'13_EPROSEC'!B:H,4,0)</f>
        <v>25</v>
      </c>
      <c r="O32" s="132">
        <f>VLOOKUP(A32,'14_FIR_CS_COURT'!B:L,11,0)</f>
        <v>77.754435107376281</v>
      </c>
      <c r="P32" s="132">
        <f>VLOOKUP(A32,'15_EOFFICE'!B:K,9,0)</f>
        <v>100</v>
      </c>
      <c r="Q32" s="132">
        <f>VLOOKUP(A32,'16_APOLIS'!B:K,10,0)</f>
        <v>67.857142857142861</v>
      </c>
      <c r="R32" s="132">
        <f>VLOOKUP(A32,'17_DRONE_FLYING'!B:J,9,0)</f>
        <v>51</v>
      </c>
      <c r="S32" s="132">
        <f>VLOOKUP(A32,'18_112_TABS'!B:H,6,0)</f>
        <v>100</v>
      </c>
      <c r="T32" s="132">
        <f>VLOOKUP(A32,'19_DIAL100_RES'!B:H,6,0)</f>
        <v>0</v>
      </c>
      <c r="U32" s="132">
        <f>VLOOKUP(A32,'20_CCTV_360'!B:S,17,0)</f>
        <v>57.142857142857139</v>
      </c>
      <c r="V32" s="132">
        <f>VLOOKUP(A32,'21_NEWS360AI'!B:D,2,0)</f>
        <v>0</v>
      </c>
      <c r="W32" s="132">
        <f>VLOOKUP(A32,'22_eFSL'!B:F,4,0)</f>
        <v>0</v>
      </c>
      <c r="X32" s="132">
        <f>VLOOKUP(A32,'23_UC3'!B:D,2,0)</f>
        <v>0</v>
      </c>
      <c r="Y32" s="132">
        <f>VLOOKUP(A32,'23_UC4'!B:D,3,0)</f>
        <v>0</v>
      </c>
    </row>
    <row r="33" spans="1:25" s="17" customFormat="1" ht="25.95" customHeight="1">
      <c r="A33" s="124" t="s">
        <v>178</v>
      </c>
      <c r="B33" s="132" t="str">
        <f>VLOOKUP(A33,'1_MEDLEAPR_PME'!B:H,6,0)</f>
        <v>100.00</v>
      </c>
      <c r="C33" s="132" t="str">
        <f>VLOOKUP(A33,'2_MEDLEAPR_MLC'!B:I,6,0)</f>
        <v>100.00</v>
      </c>
      <c r="D33" s="132">
        <f>VLOOKUP(A33,'3_NATGRID'!B:H,6,0)</f>
        <v>0</v>
      </c>
      <c r="E33" s="132">
        <f>VLOOKUP(A33,'4_DGP_DASH'!B:E,3,0)</f>
        <v>100</v>
      </c>
      <c r="F33" s="132">
        <f>VLOOKUP(A33,'5_CCTNS_TILL'!B:P,13,0)</f>
        <v>100</v>
      </c>
      <c r="G33" s="132">
        <f>VLOOKUP(A33,'6_CCTNS_1_7'!B:P,13,0)</f>
        <v>100</v>
      </c>
      <c r="H33" s="132">
        <f>VLOOKUP(A33,'7_CCTNS_8_15'!B:M,11,0)</f>
        <v>0</v>
      </c>
      <c r="I33" s="132">
        <f>VLOOKUP(A33,'8_ZERO_FIRS'!B:H,6,0)</f>
        <v>100</v>
      </c>
      <c r="J33" s="132">
        <f>VLOOKUP(A33,'9_CITIZEN_PORTAL'!B:H,6,0)</f>
        <v>100</v>
      </c>
      <c r="K33" s="132">
        <f>VLOOKUP(A33,'10_ESAKSHYA'!B:L,6,0)</f>
        <v>92.307692307692307</v>
      </c>
      <c r="L33" s="132">
        <f>VLOOKUP(A33,'11_CRIMAC'!B:F,4,0)</f>
        <v>100</v>
      </c>
      <c r="M33" s="132">
        <f>VLOOKUP(A33,'12_CEIR'!B:L,10,0)</f>
        <v>54.6875</v>
      </c>
      <c r="N33" s="132">
        <f>VLOOKUP(A33,'13_EPROSEC'!B:H,4,0)</f>
        <v>100</v>
      </c>
      <c r="O33" s="132">
        <f>VLOOKUP(A33,'14_FIR_CS_COURT'!B:L,11,0)</f>
        <v>82.067888933173904</v>
      </c>
      <c r="P33" s="132">
        <f>VLOOKUP(A33,'15_EOFFICE'!B:K,9,0)</f>
        <v>100</v>
      </c>
      <c r="Q33" s="132">
        <f>VLOOKUP(A33,'16_APOLIS'!B:K,10,0)</f>
        <v>65</v>
      </c>
      <c r="R33" s="132">
        <f>VLOOKUP(A33,'17_DRONE_FLYING'!B:J,9,0)</f>
        <v>54</v>
      </c>
      <c r="S33" s="132">
        <f>VLOOKUP(A33,'18_112_TABS'!B:H,6,0)</f>
        <v>100</v>
      </c>
      <c r="T33" s="132">
        <f>VLOOKUP(A33,'19_DIAL100_RES'!B:H,6,0)</f>
        <v>53.51473922902494</v>
      </c>
      <c r="U33" s="132">
        <f>VLOOKUP(A33,'20_CCTV_360'!B:S,17,0)</f>
        <v>50</v>
      </c>
      <c r="V33" s="132">
        <f>VLOOKUP(A33,'21_NEWS360AI'!B:D,2,0)</f>
        <v>0</v>
      </c>
      <c r="W33" s="132">
        <f>VLOOKUP(A33,'22_eFSL'!B:F,4,0)</f>
        <v>100</v>
      </c>
      <c r="X33" s="132">
        <f>VLOOKUP(A33,'23_UC3'!B:D,2,0)</f>
        <v>0</v>
      </c>
      <c r="Y33" s="132">
        <f>VLOOKUP(A33,'23_UC4'!B:D,3,0)</f>
        <v>0</v>
      </c>
    </row>
    <row r="34" spans="1:25" s="17" customFormat="1" ht="25.95" customHeight="1">
      <c r="A34" s="124" t="s">
        <v>179</v>
      </c>
      <c r="B34" s="132" t="str">
        <f>VLOOKUP(A34,'1_MEDLEAPR_PME'!B:H,6,0)</f>
        <v>100.00</v>
      </c>
      <c r="C34" s="132">
        <f>VLOOKUP(A34,'2_MEDLEAPR_MLC'!B:I,6,0)</f>
        <v>100</v>
      </c>
      <c r="D34" s="132">
        <f>VLOOKUP(A34,'3_NATGRID'!B:H,6,0)</f>
        <v>0</v>
      </c>
      <c r="E34" s="132">
        <f>VLOOKUP(A34,'4_DGP_DASH'!B:E,3,0)</f>
        <v>100</v>
      </c>
      <c r="F34" s="132">
        <f>VLOOKUP(A34,'5_CCTNS_TILL'!B:P,13,0)</f>
        <v>100</v>
      </c>
      <c r="G34" s="132">
        <f>VLOOKUP(A34,'6_CCTNS_1_7'!B:P,13,0)</f>
        <v>74.39</v>
      </c>
      <c r="H34" s="132">
        <f>VLOOKUP(A34,'7_CCTNS_8_15'!B:M,11,0)</f>
        <v>0</v>
      </c>
      <c r="I34" s="132">
        <f>VLOOKUP(A34,'8_ZERO_FIRS'!B:H,6,0)</f>
        <v>100</v>
      </c>
      <c r="J34" s="132">
        <f>VLOOKUP(A34,'9_CITIZEN_PORTAL'!B:H,6,0)</f>
        <v>100</v>
      </c>
      <c r="K34" s="132">
        <f>VLOOKUP(A34,'10_ESAKSHYA'!B:L,6,0)</f>
        <v>80.952380952380949</v>
      </c>
      <c r="L34" s="132">
        <f>VLOOKUP(A34,'11_CRIMAC'!B:F,4,0)</f>
        <v>100</v>
      </c>
      <c r="M34" s="132">
        <f>VLOOKUP(A34,'12_CEIR'!B:L,10,0)</f>
        <v>65.459280303030297</v>
      </c>
      <c r="N34" s="132">
        <f>VLOOKUP(A34,'13_EPROSEC'!B:H,4,0)</f>
        <v>100</v>
      </c>
      <c r="O34" s="132">
        <f>VLOOKUP(A34,'14_FIR_CS_COURT'!B:L,11,0)</f>
        <v>76.966966966966964</v>
      </c>
      <c r="P34" s="132">
        <f>VLOOKUP(A34,'15_EOFFICE'!B:K,9,0)</f>
        <v>100</v>
      </c>
      <c r="Q34" s="132">
        <f>VLOOKUP(A34,'16_APOLIS'!B:K,10,0)</f>
        <v>65</v>
      </c>
      <c r="R34" s="132">
        <f>VLOOKUP(A34,'17_DRONE_FLYING'!B:J,9,0)</f>
        <v>54</v>
      </c>
      <c r="S34" s="132">
        <f>VLOOKUP(A34,'18_112_TABS'!B:H,6,0)</f>
        <v>100</v>
      </c>
      <c r="T34" s="132">
        <f>VLOOKUP(A34,'19_DIAL100_RES'!B:H,6,0)</f>
        <v>74.829931972789112</v>
      </c>
      <c r="U34" s="132">
        <f>VLOOKUP(A34,'20_CCTV_360'!B:S,17,0)</f>
        <v>57.142857142857139</v>
      </c>
      <c r="V34" s="132">
        <f>VLOOKUP(A34,'21_NEWS360AI'!B:D,2,0)</f>
        <v>0</v>
      </c>
      <c r="W34" s="132">
        <f>VLOOKUP(A34,'22_eFSL'!B:F,4,0)</f>
        <v>100</v>
      </c>
      <c r="X34" s="132">
        <f>VLOOKUP(A34,'23_UC3'!B:D,2,0)</f>
        <v>0</v>
      </c>
      <c r="Y34" s="132">
        <f>VLOOKUP(A34,'23_UC4'!B:D,3,0)</f>
        <v>0</v>
      </c>
    </row>
    <row r="35" spans="1:25" s="17" customFormat="1" ht="25.95" customHeight="1">
      <c r="A35" s="124" t="s">
        <v>180</v>
      </c>
      <c r="B35" s="132" t="str">
        <f>VLOOKUP(A35,'1_MEDLEAPR_PME'!B:H,6,0)</f>
        <v>100.00</v>
      </c>
      <c r="C35" s="132" t="str">
        <f>VLOOKUP(A35,'2_MEDLEAPR_MLC'!B:I,6,0)</f>
        <v>100.00</v>
      </c>
      <c r="D35" s="132">
        <f>VLOOKUP(A35,'3_NATGRID'!B:H,6,0)</f>
        <v>0</v>
      </c>
      <c r="E35" s="132">
        <f>VLOOKUP(A35,'4_DGP_DASH'!B:E,3,0)</f>
        <v>100</v>
      </c>
      <c r="F35" s="132">
        <f>VLOOKUP(A35,'5_CCTNS_TILL'!B:P,13,0)</f>
        <v>81.69</v>
      </c>
      <c r="G35" s="132">
        <f>VLOOKUP(A35,'6_CCTNS_1_7'!B:P,13,0)</f>
        <v>100</v>
      </c>
      <c r="H35" s="132">
        <f>VLOOKUP(A35,'7_CCTNS_8_15'!B:M,11,0)</f>
        <v>0</v>
      </c>
      <c r="I35" s="132">
        <f>VLOOKUP(A35,'8_ZERO_FIRS'!B:H,6,0)</f>
        <v>100</v>
      </c>
      <c r="J35" s="132">
        <f>VLOOKUP(A35,'9_CITIZEN_PORTAL'!B:H,6,0)</f>
        <v>100</v>
      </c>
      <c r="K35" s="132">
        <f>VLOOKUP(A35,'10_ESAKSHYA'!B:L,6,0)</f>
        <v>84.444444444444443</v>
      </c>
      <c r="L35" s="132">
        <f>VLOOKUP(A35,'11_CRIMAC'!B:F,4,0)</f>
        <v>100</v>
      </c>
      <c r="M35" s="132">
        <f>VLOOKUP(A35,'12_CEIR'!B:L,10,0)</f>
        <v>50</v>
      </c>
      <c r="N35" s="132">
        <f>VLOOKUP(A35,'13_EPROSEC'!B:H,4,0)</f>
        <v>100</v>
      </c>
      <c r="O35" s="132">
        <f>VLOOKUP(A35,'14_FIR_CS_COURT'!B:L,11,0)</f>
        <v>50</v>
      </c>
      <c r="P35" s="132">
        <f>VLOOKUP(A35,'15_EOFFICE'!B:K,9,0)</f>
        <v>100</v>
      </c>
      <c r="Q35" s="132">
        <f>VLOOKUP(A35,'16_APOLIS'!B:K,10,0)</f>
        <v>62.5</v>
      </c>
      <c r="R35" s="132">
        <f>VLOOKUP(A35,'17_DRONE_FLYING'!B:J,9,0)</f>
        <v>54</v>
      </c>
      <c r="S35" s="132">
        <f>VLOOKUP(A35,'18_112_TABS'!B:H,6,0)</f>
        <v>100</v>
      </c>
      <c r="T35" s="132">
        <f>VLOOKUP(A35,'19_DIAL100_RES'!B:H,6,0)</f>
        <v>50</v>
      </c>
      <c r="U35" s="132">
        <f>VLOOKUP(A35,'20_CCTV_360'!B:S,17,0)</f>
        <v>57.142857142857139</v>
      </c>
      <c r="V35" s="132">
        <f>VLOOKUP(A35,'21_NEWS360AI'!B:D,2,0)</f>
        <v>0</v>
      </c>
      <c r="W35" s="132">
        <f>VLOOKUP(A35,'22_eFSL'!B:F,4,0)</f>
        <v>100</v>
      </c>
      <c r="X35" s="132">
        <f>VLOOKUP(A35,'23_UC3'!B:D,2,0)</f>
        <v>0</v>
      </c>
      <c r="Y35" s="132">
        <f>VLOOKUP(A35,'23_UC4'!B:D,3,0)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38</vt:i4>
      </vt:variant>
    </vt:vector>
  </HeadingPairs>
  <TitlesOfParts>
    <vt:vector size="63" baseType="lpstr">
      <vt:lpstr>1_MEDLEAPR_PME</vt:lpstr>
      <vt:lpstr>2_MEDLEAPR_MLC</vt:lpstr>
      <vt:lpstr>3_NATGRID</vt:lpstr>
      <vt:lpstr>4_DGP_DASH</vt:lpstr>
      <vt:lpstr>5_CCTNS_TILL</vt:lpstr>
      <vt:lpstr>6_CCTNS_1_7</vt:lpstr>
      <vt:lpstr>7_CCTNS_8_15</vt:lpstr>
      <vt:lpstr>8_ZERO_FIRS</vt:lpstr>
      <vt:lpstr>9_CITIZEN_PORTAL</vt:lpstr>
      <vt:lpstr>10_ESAKSHYA</vt:lpstr>
      <vt:lpstr>11_CRIMAC</vt:lpstr>
      <vt:lpstr>12_CEIR</vt:lpstr>
      <vt:lpstr>13_EPROSEC</vt:lpstr>
      <vt:lpstr>14_FIR_CS_COURT</vt:lpstr>
      <vt:lpstr>15_EOFFICE</vt:lpstr>
      <vt:lpstr>16_APOLIS</vt:lpstr>
      <vt:lpstr>17_DRONE_FLYING</vt:lpstr>
      <vt:lpstr>18_112_TABS</vt:lpstr>
      <vt:lpstr>19_DIAL100_RES</vt:lpstr>
      <vt:lpstr>20_CCTV_360</vt:lpstr>
      <vt:lpstr>21_NEWS360AI</vt:lpstr>
      <vt:lpstr>22_eFSL</vt:lpstr>
      <vt:lpstr>23_UC3</vt:lpstr>
      <vt:lpstr>23_UC4</vt:lpstr>
      <vt:lpstr>Sheet1</vt:lpstr>
      <vt:lpstr>'1_MEDLEAPR_PME'!Print_Area</vt:lpstr>
      <vt:lpstr>'10_ESAKSHYA'!Print_Area</vt:lpstr>
      <vt:lpstr>'11_CRIMAC'!Print_Area</vt:lpstr>
      <vt:lpstr>'12_CEIR'!Print_Area</vt:lpstr>
      <vt:lpstr>'13_EPROSEC'!Print_Area</vt:lpstr>
      <vt:lpstr>'14_FIR_CS_COURT'!Print_Area</vt:lpstr>
      <vt:lpstr>'15_EOFFICE'!Print_Area</vt:lpstr>
      <vt:lpstr>'16_APOLIS'!Print_Area</vt:lpstr>
      <vt:lpstr>'17_DRONE_FLYING'!Print_Area</vt:lpstr>
      <vt:lpstr>'18_112_TABS'!Print_Area</vt:lpstr>
      <vt:lpstr>'19_DIAL100_RES'!Print_Area</vt:lpstr>
      <vt:lpstr>'20_CCTV_360'!Print_Area</vt:lpstr>
      <vt:lpstr>'21_NEWS360AI'!Print_Area</vt:lpstr>
      <vt:lpstr>'22_eFSL'!Print_Area</vt:lpstr>
      <vt:lpstr>'23_UC3'!Print_Area</vt:lpstr>
      <vt:lpstr>'23_UC4'!Print_Area</vt:lpstr>
      <vt:lpstr>'5_CCTNS_TILL'!Print_Area</vt:lpstr>
      <vt:lpstr>'6_CCTNS_1_7'!Print_Area</vt:lpstr>
      <vt:lpstr>'7_CCTNS_8_15'!Print_Area</vt:lpstr>
      <vt:lpstr>'1_MEDLEAPR_PME'!Print_Titles</vt:lpstr>
      <vt:lpstr>'10_ESAKSHYA'!Print_Titles</vt:lpstr>
      <vt:lpstr>'11_CRIMAC'!Print_Titles</vt:lpstr>
      <vt:lpstr>'12_CEIR'!Print_Titles</vt:lpstr>
      <vt:lpstr>'13_EPROSEC'!Print_Titles</vt:lpstr>
      <vt:lpstr>'14_FIR_CS_COURT'!Print_Titles</vt:lpstr>
      <vt:lpstr>'15_EOFFICE'!Print_Titles</vt:lpstr>
      <vt:lpstr>'16_APOLIS'!Print_Titles</vt:lpstr>
      <vt:lpstr>'2_MEDLEAPR_MLC'!Print_Titles</vt:lpstr>
      <vt:lpstr>'20_CCTV_360'!Print_Titles</vt:lpstr>
      <vt:lpstr>'21_NEWS360AI'!Print_Titles</vt:lpstr>
      <vt:lpstr>'22_eFSL'!Print_Titles</vt:lpstr>
      <vt:lpstr>'23_UC3'!Print_Titles</vt:lpstr>
      <vt:lpstr>'23_UC4'!Print_Titles</vt:lpstr>
      <vt:lpstr>'4_DGP_DASH'!Print_Titles</vt:lpstr>
      <vt:lpstr>'5_CCTNS_TILL'!Print_Titles</vt:lpstr>
      <vt:lpstr>'6_CCTNS_1_7'!Print_Titles</vt:lpstr>
      <vt:lpstr>'7_CCTNS_8_15'!Print_Titles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cp:lastPrinted>2026-09-17T15:08:41Z</cp:lastPrinted>
  <dcterms:created xsi:type="dcterms:W3CDTF">2026-09-16T03:09:39Z</dcterms:created>
  <dcterms:modified xsi:type="dcterms:W3CDTF">2026-09-18T05:27:26Z</dcterms:modified>
</cp:coreProperties>
</file>