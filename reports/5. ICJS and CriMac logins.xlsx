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H Drive\2026\DSR\"/>
    </mc:Choice>
  </mc:AlternateContent>
  <xr:revisionPtr revIDLastSave="0" documentId="13_ncr:1_{8D3EC871-4910-4E36-8ECF-3A756AA088FC}" xr6:coauthVersionLast="47" xr6:coauthVersionMax="47" xr10:uidLastSave="{00000000-0000-0000-0000-000000000000}"/>
  <bookViews>
    <workbookView xWindow="-120" yWindow="-120" windowWidth="29040" windowHeight="15720" activeTab="1" xr2:uid="{F6692508-4D15-42DF-AA82-1E7A3B8626A3}"/>
  </bookViews>
  <sheets>
    <sheet name="Crimac" sheetId="1" r:id="rId1"/>
    <sheet name="ICJS" sheetId="2" r:id="rId2"/>
    <sheet name="Sheet1" sheetId="3" r:id="rId3"/>
    <sheet name="Sheet2" sheetId="4" r:id="rId4"/>
    <sheet name="stt" sheetId="8" r:id="rId5"/>
    <sheet name="weeks" sheetId="9" r:id="rId6"/>
    <sheet name="Sheet3" sheetId="5" r:id="rId7"/>
    <sheet name="Sheet4" sheetId="6" r:id="rId8"/>
    <sheet name="Sheet5" sheetId="7" r:id="rId9"/>
  </sheets>
  <externalReferences>
    <externalReference r:id="rId10"/>
  </externalReferences>
  <definedNames>
    <definedName name="_xlnm._FilterDatabase" localSheetId="0" hidden="1">Crimac!$B$1:$D$36</definedName>
  </definedNames>
  <calcPr calcId="191029"/>
  <pivotCaches>
    <pivotCache cacheId="4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3" l="1"/>
  <c r="D34" i="3" l="1"/>
  <c r="E34" i="3"/>
  <c r="F34" i="3"/>
  <c r="G34" i="3"/>
  <c r="H34" i="3"/>
  <c r="I34" i="3"/>
  <c r="J34" i="3"/>
  <c r="D21" i="3"/>
  <c r="E21" i="3"/>
  <c r="F21" i="3"/>
  <c r="G21" i="3"/>
  <c r="H21" i="3"/>
  <c r="I21" i="3"/>
  <c r="J21" i="3"/>
  <c r="E39" i="3"/>
  <c r="F39" i="3"/>
  <c r="G39" i="3"/>
  <c r="H39" i="3"/>
  <c r="I39" i="3"/>
  <c r="J39" i="3"/>
  <c r="D38" i="3"/>
  <c r="E38" i="3"/>
  <c r="F38" i="3"/>
  <c r="G38" i="3"/>
  <c r="H38" i="3"/>
  <c r="I38" i="3"/>
  <c r="J38" i="3"/>
  <c r="D41" i="3"/>
  <c r="E41" i="3"/>
  <c r="F41" i="3"/>
  <c r="G41" i="3"/>
  <c r="H41" i="3"/>
  <c r="I41" i="3"/>
  <c r="J41" i="3"/>
  <c r="K39" i="3" l="1"/>
  <c r="K41" i="3"/>
  <c r="K34" i="3"/>
  <c r="K21" i="3"/>
  <c r="K38" i="3"/>
  <c r="S37" i="8" l="1"/>
  <c r="R37" i="8"/>
  <c r="Q37" i="8"/>
  <c r="P37" i="8"/>
  <c r="N37" i="8"/>
  <c r="T12" i="8"/>
  <c r="T27" i="8"/>
  <c r="T25" i="8"/>
  <c r="T7" i="8"/>
  <c r="T18" i="8"/>
  <c r="T8" i="8"/>
  <c r="T10" i="8"/>
  <c r="T4" i="8"/>
  <c r="T5" i="8"/>
  <c r="T6" i="8"/>
  <c r="T19" i="8"/>
  <c r="T28" i="8"/>
  <c r="T23" i="8"/>
  <c r="T3" i="8"/>
  <c r="T37" i="8" s="1"/>
  <c r="T17" i="8"/>
  <c r="T16" i="8"/>
  <c r="T29" i="8"/>
  <c r="T30" i="8"/>
  <c r="T20" i="8"/>
  <c r="T31" i="8"/>
  <c r="T32" i="8"/>
  <c r="T13" i="8"/>
  <c r="T21" i="8"/>
  <c r="T24" i="8"/>
  <c r="T14" i="8"/>
  <c r="T11" i="8"/>
  <c r="T33" i="8"/>
  <c r="T15" i="8"/>
  <c r="T22" i="8"/>
  <c r="T26" i="8"/>
  <c r="T34" i="8"/>
  <c r="T35" i="8"/>
  <c r="T36" i="8"/>
  <c r="T9" i="8"/>
  <c r="C12" i="8"/>
  <c r="C27" i="8"/>
  <c r="C25" i="8"/>
  <c r="C7" i="8"/>
  <c r="C18" i="8"/>
  <c r="C8" i="8"/>
  <c r="C10" i="8"/>
  <c r="C4" i="8"/>
  <c r="C5" i="8"/>
  <c r="C6" i="8"/>
  <c r="C19" i="8"/>
  <c r="C28" i="8"/>
  <c r="C23" i="8"/>
  <c r="C3" i="8"/>
  <c r="C17" i="8"/>
  <c r="C16" i="8"/>
  <c r="C29" i="8"/>
  <c r="C30" i="8"/>
  <c r="C20" i="8"/>
  <c r="C31" i="8"/>
  <c r="C32" i="8"/>
  <c r="C13" i="8"/>
  <c r="C21" i="8"/>
  <c r="C24" i="8"/>
  <c r="C14" i="8"/>
  <c r="C11" i="8"/>
  <c r="C33" i="8"/>
  <c r="C15" i="8"/>
  <c r="C22" i="8"/>
  <c r="C26" i="8"/>
  <c r="C34" i="8"/>
  <c r="C35" i="8"/>
  <c r="C36" i="8"/>
  <c r="C9" i="8"/>
  <c r="H41" i="9"/>
  <c r="I41" i="9"/>
  <c r="J41" i="9"/>
  <c r="K41" i="9"/>
  <c r="L41" i="9"/>
  <c r="M41" i="9"/>
  <c r="N41" i="9"/>
  <c r="G41" i="9"/>
  <c r="D12" i="8"/>
  <c r="E12" i="8"/>
  <c r="F12" i="8"/>
  <c r="G12" i="8"/>
  <c r="H12" i="8"/>
  <c r="I12" i="8"/>
  <c r="J12" i="8"/>
  <c r="D27" i="8"/>
  <c r="E27" i="8"/>
  <c r="F27" i="8"/>
  <c r="G27" i="8"/>
  <c r="H27" i="8"/>
  <c r="I27" i="8"/>
  <c r="J27" i="8"/>
  <c r="D25" i="8"/>
  <c r="E25" i="8"/>
  <c r="F25" i="8"/>
  <c r="G25" i="8"/>
  <c r="H25" i="8"/>
  <c r="I25" i="8"/>
  <c r="J25" i="8"/>
  <c r="D7" i="8"/>
  <c r="E7" i="8"/>
  <c r="F7" i="8"/>
  <c r="G7" i="8"/>
  <c r="H7" i="8"/>
  <c r="I7" i="8"/>
  <c r="J7" i="8"/>
  <c r="D18" i="8"/>
  <c r="E18" i="8"/>
  <c r="F18" i="8"/>
  <c r="G18" i="8"/>
  <c r="H18" i="8"/>
  <c r="I18" i="8"/>
  <c r="J18" i="8"/>
  <c r="D8" i="8"/>
  <c r="E8" i="8"/>
  <c r="F8" i="8"/>
  <c r="G8" i="8"/>
  <c r="H8" i="8"/>
  <c r="I8" i="8"/>
  <c r="J8" i="8"/>
  <c r="D10" i="8"/>
  <c r="E10" i="8"/>
  <c r="F10" i="8"/>
  <c r="G10" i="8"/>
  <c r="H10" i="8"/>
  <c r="I10" i="8"/>
  <c r="J10" i="8"/>
  <c r="D4" i="8"/>
  <c r="E4" i="8"/>
  <c r="F4" i="8"/>
  <c r="G4" i="8"/>
  <c r="H4" i="8"/>
  <c r="I4" i="8"/>
  <c r="J4" i="8"/>
  <c r="D5" i="8"/>
  <c r="E5" i="8"/>
  <c r="F5" i="8"/>
  <c r="G5" i="8"/>
  <c r="H5" i="8"/>
  <c r="I5" i="8"/>
  <c r="J5" i="8"/>
  <c r="D6" i="8"/>
  <c r="E6" i="8"/>
  <c r="F6" i="8"/>
  <c r="G6" i="8"/>
  <c r="H6" i="8"/>
  <c r="I6" i="8"/>
  <c r="J6" i="8"/>
  <c r="D19" i="8"/>
  <c r="E19" i="8"/>
  <c r="F19" i="8"/>
  <c r="G19" i="8"/>
  <c r="H19" i="8"/>
  <c r="I19" i="8"/>
  <c r="J19" i="8"/>
  <c r="D28" i="8"/>
  <c r="E28" i="8"/>
  <c r="F28" i="8"/>
  <c r="G28" i="8"/>
  <c r="H28" i="8"/>
  <c r="I28" i="8"/>
  <c r="J28" i="8"/>
  <c r="D23" i="8"/>
  <c r="E23" i="8"/>
  <c r="F23" i="8"/>
  <c r="G23" i="8"/>
  <c r="H23" i="8"/>
  <c r="I23" i="8"/>
  <c r="J23" i="8"/>
  <c r="D3" i="8"/>
  <c r="E3" i="8"/>
  <c r="F3" i="8"/>
  <c r="G3" i="8"/>
  <c r="H3" i="8"/>
  <c r="I3" i="8"/>
  <c r="J3" i="8"/>
  <c r="D17" i="8"/>
  <c r="E17" i="8"/>
  <c r="F17" i="8"/>
  <c r="G17" i="8"/>
  <c r="H17" i="8"/>
  <c r="I17" i="8"/>
  <c r="J17" i="8"/>
  <c r="D16" i="8"/>
  <c r="E16" i="8"/>
  <c r="F16" i="8"/>
  <c r="G16" i="8"/>
  <c r="H16" i="8"/>
  <c r="I16" i="8"/>
  <c r="J16" i="8"/>
  <c r="D29" i="8"/>
  <c r="E29" i="8"/>
  <c r="F29" i="8"/>
  <c r="G29" i="8"/>
  <c r="H29" i="8"/>
  <c r="I29" i="8"/>
  <c r="J29" i="8"/>
  <c r="D30" i="8"/>
  <c r="E30" i="8"/>
  <c r="F30" i="8"/>
  <c r="G30" i="8"/>
  <c r="H30" i="8"/>
  <c r="I30" i="8"/>
  <c r="J30" i="8"/>
  <c r="D20" i="8"/>
  <c r="E20" i="8"/>
  <c r="F20" i="8"/>
  <c r="G20" i="8"/>
  <c r="H20" i="8"/>
  <c r="I20" i="8"/>
  <c r="J20" i="8"/>
  <c r="D31" i="8"/>
  <c r="E31" i="8"/>
  <c r="F31" i="8"/>
  <c r="G31" i="8"/>
  <c r="H31" i="8"/>
  <c r="I31" i="8"/>
  <c r="J31" i="8"/>
  <c r="D32" i="8"/>
  <c r="E32" i="8"/>
  <c r="F32" i="8"/>
  <c r="G32" i="8"/>
  <c r="H32" i="8"/>
  <c r="I32" i="8"/>
  <c r="J32" i="8"/>
  <c r="D13" i="8"/>
  <c r="E13" i="8"/>
  <c r="F13" i="8"/>
  <c r="G13" i="8"/>
  <c r="H13" i="8"/>
  <c r="I13" i="8"/>
  <c r="J13" i="8"/>
  <c r="D21" i="8"/>
  <c r="E21" i="8"/>
  <c r="F21" i="8"/>
  <c r="G21" i="8"/>
  <c r="H21" i="8"/>
  <c r="I21" i="8"/>
  <c r="J21" i="8"/>
  <c r="D24" i="8"/>
  <c r="E24" i="8"/>
  <c r="F24" i="8"/>
  <c r="G24" i="8"/>
  <c r="H24" i="8"/>
  <c r="I24" i="8"/>
  <c r="J24" i="8"/>
  <c r="D14" i="8"/>
  <c r="E14" i="8"/>
  <c r="F14" i="8"/>
  <c r="G14" i="8"/>
  <c r="H14" i="8"/>
  <c r="I14" i="8"/>
  <c r="J14" i="8"/>
  <c r="D11" i="8"/>
  <c r="E11" i="8"/>
  <c r="F11" i="8"/>
  <c r="G11" i="8"/>
  <c r="H11" i="8"/>
  <c r="I11" i="8"/>
  <c r="J11" i="8"/>
  <c r="D33" i="8"/>
  <c r="E33" i="8"/>
  <c r="F33" i="8"/>
  <c r="G33" i="8"/>
  <c r="H33" i="8"/>
  <c r="I33" i="8"/>
  <c r="J33" i="8"/>
  <c r="D15" i="8"/>
  <c r="E15" i="8"/>
  <c r="F15" i="8"/>
  <c r="G15" i="8"/>
  <c r="H15" i="8"/>
  <c r="I15" i="8"/>
  <c r="J15" i="8"/>
  <c r="D22" i="8"/>
  <c r="E22" i="8"/>
  <c r="F22" i="8"/>
  <c r="G22" i="8"/>
  <c r="H22" i="8"/>
  <c r="I22" i="8"/>
  <c r="J22" i="8"/>
  <c r="D26" i="8"/>
  <c r="E26" i="8"/>
  <c r="F26" i="8"/>
  <c r="G26" i="8"/>
  <c r="H26" i="8"/>
  <c r="I26" i="8"/>
  <c r="J26" i="8"/>
  <c r="D34" i="8"/>
  <c r="E34" i="8"/>
  <c r="F34" i="8"/>
  <c r="G34" i="8"/>
  <c r="H34" i="8"/>
  <c r="I34" i="8"/>
  <c r="J34" i="8"/>
  <c r="D35" i="8"/>
  <c r="E35" i="8"/>
  <c r="F35" i="8"/>
  <c r="G35" i="8"/>
  <c r="H35" i="8"/>
  <c r="I35" i="8"/>
  <c r="J35" i="8"/>
  <c r="D36" i="8"/>
  <c r="E36" i="8"/>
  <c r="F36" i="8"/>
  <c r="G36" i="8"/>
  <c r="H36" i="8"/>
  <c r="I36" i="8"/>
  <c r="J36" i="8"/>
  <c r="J9" i="8"/>
  <c r="I9" i="8"/>
  <c r="H9" i="8"/>
  <c r="G9" i="8"/>
  <c r="F9" i="8"/>
  <c r="E9" i="8"/>
  <c r="D9" i="8"/>
  <c r="C37" i="8" l="1"/>
  <c r="K10" i="8"/>
  <c r="L10" i="8" s="1"/>
  <c r="K25" i="8"/>
  <c r="L25" i="8" s="1"/>
  <c r="K27" i="8"/>
  <c r="L27" i="8" s="1"/>
  <c r="K12" i="8"/>
  <c r="L12" i="8" s="1"/>
  <c r="K35" i="8"/>
  <c r="L35" i="8" s="1"/>
  <c r="K22" i="8"/>
  <c r="L22" i="8" s="1"/>
  <c r="K21" i="8"/>
  <c r="L21" i="8" s="1"/>
  <c r="K32" i="8"/>
  <c r="L32" i="8" s="1"/>
  <c r="K31" i="8"/>
  <c r="L31" i="8" s="1"/>
  <c r="K20" i="8"/>
  <c r="L20" i="8" s="1"/>
  <c r="K30" i="8"/>
  <c r="L30" i="8" s="1"/>
  <c r="K29" i="8"/>
  <c r="L29" i="8" s="1"/>
  <c r="K17" i="8"/>
  <c r="L17" i="8" s="1"/>
  <c r="K23" i="8"/>
  <c r="L23" i="8" s="1"/>
  <c r="K19" i="8"/>
  <c r="L19" i="8" s="1"/>
  <c r="K5" i="8"/>
  <c r="L5" i="8" s="1"/>
  <c r="K4" i="8"/>
  <c r="L4" i="8" s="1"/>
  <c r="K8" i="8"/>
  <c r="L8" i="8" s="1"/>
  <c r="K18" i="8"/>
  <c r="L18" i="8" s="1"/>
  <c r="E37" i="8"/>
  <c r="K15" i="8"/>
  <c r="K13" i="8"/>
  <c r="L13" i="8" s="1"/>
  <c r="K16" i="8"/>
  <c r="L16" i="8" s="1"/>
  <c r="K6" i="8"/>
  <c r="L6" i="8" s="1"/>
  <c r="K7" i="8"/>
  <c r="L7" i="8" s="1"/>
  <c r="K28" i="8"/>
  <c r="L28" i="8" s="1"/>
  <c r="K26" i="8"/>
  <c r="L26" i="8" s="1"/>
  <c r="J37" i="8"/>
  <c r="K33" i="8"/>
  <c r="L33" i="8" s="1"/>
  <c r="K11" i="8"/>
  <c r="L11" i="8" s="1"/>
  <c r="K24" i="8"/>
  <c r="L24" i="8" s="1"/>
  <c r="K34" i="8"/>
  <c r="L34" i="8" s="1"/>
  <c r="K14" i="8"/>
  <c r="L14" i="8" s="1"/>
  <c r="H37" i="8"/>
  <c r="K3" i="8"/>
  <c r="L3" i="8" s="1"/>
  <c r="K36" i="8"/>
  <c r="L36" i="8" s="1"/>
  <c r="F37" i="8"/>
  <c r="K9" i="8"/>
  <c r="L9" i="8" s="1"/>
  <c r="I37" i="8"/>
  <c r="G37" i="8"/>
  <c r="D37" i="8"/>
  <c r="C42" i="3"/>
  <c r="D5" i="3"/>
  <c r="E5" i="3"/>
  <c r="F5" i="3"/>
  <c r="G5" i="3"/>
  <c r="H5" i="3"/>
  <c r="I5" i="3"/>
  <c r="J5" i="3"/>
  <c r="D4" i="3"/>
  <c r="E4" i="3"/>
  <c r="F4" i="3"/>
  <c r="G4" i="3"/>
  <c r="H4" i="3"/>
  <c r="I4" i="3"/>
  <c r="J4" i="3"/>
  <c r="D8" i="3"/>
  <c r="E8" i="3"/>
  <c r="F8" i="3"/>
  <c r="G8" i="3"/>
  <c r="H8" i="3"/>
  <c r="I8" i="3"/>
  <c r="J8" i="3"/>
  <c r="D12" i="3"/>
  <c r="E12" i="3"/>
  <c r="F12" i="3"/>
  <c r="G12" i="3"/>
  <c r="H12" i="3"/>
  <c r="I12" i="3"/>
  <c r="J12" i="3"/>
  <c r="D32" i="3"/>
  <c r="E32" i="3"/>
  <c r="F32" i="3"/>
  <c r="G32" i="3"/>
  <c r="H32" i="3"/>
  <c r="I32" i="3"/>
  <c r="J32" i="3"/>
  <c r="D15" i="3"/>
  <c r="E15" i="3"/>
  <c r="F15" i="3"/>
  <c r="G15" i="3"/>
  <c r="H15" i="3"/>
  <c r="I15" i="3"/>
  <c r="J15" i="3"/>
  <c r="D6" i="3"/>
  <c r="E6" i="3"/>
  <c r="F6" i="3"/>
  <c r="G6" i="3"/>
  <c r="H6" i="3"/>
  <c r="I6" i="3"/>
  <c r="J6" i="3"/>
  <c r="D9" i="3"/>
  <c r="E9" i="3"/>
  <c r="F9" i="3"/>
  <c r="G9" i="3"/>
  <c r="H9" i="3"/>
  <c r="I9" i="3"/>
  <c r="J9" i="3"/>
  <c r="D13" i="3"/>
  <c r="E13" i="3"/>
  <c r="F13" i="3"/>
  <c r="G13" i="3"/>
  <c r="H13" i="3"/>
  <c r="I13" i="3"/>
  <c r="J13" i="3"/>
  <c r="D3" i="3"/>
  <c r="E3" i="3"/>
  <c r="F3" i="3"/>
  <c r="G3" i="3"/>
  <c r="H3" i="3"/>
  <c r="I3" i="3"/>
  <c r="J3" i="3"/>
  <c r="D35" i="3"/>
  <c r="E35" i="3"/>
  <c r="F35" i="3"/>
  <c r="G35" i="3"/>
  <c r="H35" i="3"/>
  <c r="I35" i="3"/>
  <c r="J35" i="3"/>
  <c r="D11" i="3"/>
  <c r="E11" i="3"/>
  <c r="F11" i="3"/>
  <c r="G11" i="3"/>
  <c r="H11" i="3"/>
  <c r="I11" i="3"/>
  <c r="J11" i="3"/>
  <c r="D18" i="3"/>
  <c r="E18" i="3"/>
  <c r="F18" i="3"/>
  <c r="G18" i="3"/>
  <c r="H18" i="3"/>
  <c r="I18" i="3"/>
  <c r="J18" i="3"/>
  <c r="D29" i="3"/>
  <c r="E29" i="3"/>
  <c r="F29" i="3"/>
  <c r="G29" i="3"/>
  <c r="H29" i="3"/>
  <c r="I29" i="3"/>
  <c r="J29" i="3"/>
  <c r="D27" i="3"/>
  <c r="E27" i="3"/>
  <c r="F27" i="3"/>
  <c r="G27" i="3"/>
  <c r="H27" i="3"/>
  <c r="I27" i="3"/>
  <c r="J27" i="3"/>
  <c r="D36" i="3"/>
  <c r="E36" i="3"/>
  <c r="F36" i="3"/>
  <c r="G36" i="3"/>
  <c r="H36" i="3"/>
  <c r="I36" i="3"/>
  <c r="J36" i="3"/>
  <c r="D25" i="3"/>
  <c r="E25" i="3"/>
  <c r="F25" i="3"/>
  <c r="G25" i="3"/>
  <c r="H25" i="3"/>
  <c r="I25" i="3"/>
  <c r="J25" i="3"/>
  <c r="D16" i="3"/>
  <c r="E16" i="3"/>
  <c r="F16" i="3"/>
  <c r="G16" i="3"/>
  <c r="H16" i="3"/>
  <c r="I16" i="3"/>
  <c r="J16" i="3"/>
  <c r="D20" i="3"/>
  <c r="E20" i="3"/>
  <c r="F20" i="3"/>
  <c r="G20" i="3"/>
  <c r="H20" i="3"/>
  <c r="I20" i="3"/>
  <c r="J20" i="3"/>
  <c r="D40" i="3"/>
  <c r="E40" i="3"/>
  <c r="F40" i="3"/>
  <c r="G40" i="3"/>
  <c r="H40" i="3"/>
  <c r="I40" i="3"/>
  <c r="J40" i="3"/>
  <c r="D31" i="3"/>
  <c r="E31" i="3"/>
  <c r="F31" i="3"/>
  <c r="G31" i="3"/>
  <c r="H31" i="3"/>
  <c r="I31" i="3"/>
  <c r="J31" i="3"/>
  <c r="D30" i="3"/>
  <c r="E30" i="3"/>
  <c r="F30" i="3"/>
  <c r="G30" i="3"/>
  <c r="H30" i="3"/>
  <c r="I30" i="3"/>
  <c r="J30" i="3"/>
  <c r="D10" i="3"/>
  <c r="E10" i="3"/>
  <c r="F10" i="3"/>
  <c r="G10" i="3"/>
  <c r="H10" i="3"/>
  <c r="I10" i="3"/>
  <c r="J10" i="3"/>
  <c r="D23" i="3"/>
  <c r="E23" i="3"/>
  <c r="F23" i="3"/>
  <c r="G23" i="3"/>
  <c r="H23" i="3"/>
  <c r="I23" i="3"/>
  <c r="J23" i="3"/>
  <c r="D22" i="3"/>
  <c r="E22" i="3"/>
  <c r="F22" i="3"/>
  <c r="G22" i="3"/>
  <c r="H22" i="3"/>
  <c r="I22" i="3"/>
  <c r="J22" i="3"/>
  <c r="D14" i="3"/>
  <c r="E14" i="3"/>
  <c r="F14" i="3"/>
  <c r="G14" i="3"/>
  <c r="H14" i="3"/>
  <c r="I14" i="3"/>
  <c r="J14" i="3"/>
  <c r="D17" i="3"/>
  <c r="E17" i="3"/>
  <c r="F17" i="3"/>
  <c r="G17" i="3"/>
  <c r="H17" i="3"/>
  <c r="I17" i="3"/>
  <c r="J17" i="3"/>
  <c r="D26" i="3"/>
  <c r="E26" i="3"/>
  <c r="F26" i="3"/>
  <c r="G26" i="3"/>
  <c r="H26" i="3"/>
  <c r="I26" i="3"/>
  <c r="J26" i="3"/>
  <c r="D24" i="3"/>
  <c r="E24" i="3"/>
  <c r="F24" i="3"/>
  <c r="G24" i="3"/>
  <c r="H24" i="3"/>
  <c r="I24" i="3"/>
  <c r="J24" i="3"/>
  <c r="D33" i="3"/>
  <c r="E33" i="3"/>
  <c r="F33" i="3"/>
  <c r="G33" i="3"/>
  <c r="H33" i="3"/>
  <c r="I33" i="3"/>
  <c r="J33" i="3"/>
  <c r="D7" i="3"/>
  <c r="E7" i="3"/>
  <c r="F7" i="3"/>
  <c r="G7" i="3"/>
  <c r="H7" i="3"/>
  <c r="I7" i="3"/>
  <c r="J7" i="3"/>
  <c r="D37" i="3"/>
  <c r="E37" i="3"/>
  <c r="F37" i="3"/>
  <c r="G37" i="3"/>
  <c r="H37" i="3"/>
  <c r="I37" i="3"/>
  <c r="J37" i="3"/>
  <c r="D28" i="3"/>
  <c r="E28" i="3"/>
  <c r="F28" i="3"/>
  <c r="G28" i="3"/>
  <c r="H28" i="3"/>
  <c r="I28" i="3"/>
  <c r="J28" i="3"/>
  <c r="J19" i="3"/>
  <c r="I19" i="3"/>
  <c r="H19" i="3"/>
  <c r="G19" i="3"/>
  <c r="F19" i="3"/>
  <c r="E19" i="3"/>
  <c r="D19" i="3"/>
  <c r="G42" i="3" l="1"/>
  <c r="F42" i="3"/>
  <c r="E42" i="3"/>
  <c r="H42" i="3"/>
  <c r="J42" i="3"/>
  <c r="D42" i="3"/>
  <c r="I42" i="3"/>
  <c r="K37" i="8"/>
  <c r="L37" i="8" s="1"/>
  <c r="K29" i="3"/>
  <c r="K26" i="3" l="1"/>
  <c r="K37" i="3"/>
  <c r="K17" i="3"/>
  <c r="K30" i="3"/>
  <c r="K25" i="3"/>
  <c r="K7" i="3"/>
  <c r="K14" i="3"/>
  <c r="K31" i="3"/>
  <c r="K11" i="3"/>
  <c r="K18" i="3"/>
  <c r="K10" i="3"/>
  <c r="K15" i="3"/>
  <c r="K8" i="3"/>
  <c r="K36" i="3"/>
  <c r="K40" i="3"/>
  <c r="K3" i="3"/>
  <c r="K19" i="3"/>
  <c r="K28" i="3"/>
  <c r="K35" i="3"/>
  <c r="K33" i="3"/>
  <c r="K22" i="3"/>
  <c r="K20" i="3"/>
  <c r="K32" i="3"/>
  <c r="K13" i="3"/>
  <c r="K16" i="3"/>
  <c r="K27" i="3"/>
  <c r="K24" i="3"/>
  <c r="K23" i="3"/>
  <c r="K9" i="3"/>
  <c r="K4" i="3"/>
  <c r="K5" i="3"/>
  <c r="K6" i="3"/>
  <c r="L36" i="3" l="1"/>
  <c r="L35" i="3"/>
  <c r="L34" i="3"/>
  <c r="L21" i="3"/>
  <c r="L14" i="3"/>
  <c r="L30" i="3"/>
  <c r="L33" i="3"/>
  <c r="L19" i="3"/>
  <c r="L29" i="3"/>
  <c r="L16" i="3"/>
  <c r="L20" i="3"/>
  <c r="L28" i="3"/>
  <c r="L25" i="3"/>
  <c r="K12" i="3"/>
  <c r="L9" i="3" s="1"/>
  <c r="L27" i="3" l="1"/>
  <c r="L32" i="3"/>
  <c r="L6" i="3"/>
  <c r="K42" i="3"/>
  <c r="L42" i="3" s="1"/>
  <c r="L13" i="3"/>
  <c r="L26" i="3"/>
  <c r="L23" i="3"/>
  <c r="L22" i="3"/>
  <c r="L18" i="3"/>
  <c r="L12" i="3"/>
  <c r="L10" i="3"/>
  <c r="L8" i="3"/>
  <c r="L5" i="3"/>
  <c r="L4" i="3"/>
  <c r="L7" i="3"/>
  <c r="L11" i="3"/>
  <c r="L15" i="3"/>
  <c r="L24" i="3"/>
  <c r="L17" i="3"/>
  <c r="L3" i="3"/>
</calcChain>
</file>

<file path=xl/sharedStrings.xml><?xml version="1.0" encoding="utf-8"?>
<sst xmlns="http://schemas.openxmlformats.org/spreadsheetml/2006/main" count="443" uniqueCount="120">
  <si>
    <t>Bandar Taluk PS</t>
  </si>
  <si>
    <t>Thotlavalluru</t>
  </si>
  <si>
    <t>S.No.</t>
  </si>
  <si>
    <t>Police Station</t>
  </si>
  <si>
    <t>Total no. of Logins</t>
  </si>
  <si>
    <t>SLNo.</t>
  </si>
  <si>
    <t>District</t>
  </si>
  <si>
    <t>User Level</t>
  </si>
  <si>
    <t>User Type</t>
  </si>
  <si>
    <t>User Name</t>
  </si>
  <si>
    <t>Login Id</t>
  </si>
  <si>
    <t>Email Id</t>
  </si>
  <si>
    <t>Last Login Date</t>
  </si>
  <si>
    <t>Total Login</t>
  </si>
  <si>
    <t>Gudivada I Town UPS</t>
  </si>
  <si>
    <t>Gudivada II Town UPS</t>
  </si>
  <si>
    <t>Penamaluru UPS</t>
  </si>
  <si>
    <t>Inaguduru UPS</t>
  </si>
  <si>
    <t>Gannavaram UPS</t>
  </si>
  <si>
    <t>Vuyyuru Town UPS</t>
  </si>
  <si>
    <t>Atkuru</t>
  </si>
  <si>
    <t>PEDAPARUPUDI</t>
  </si>
  <si>
    <t>GUDIVADA RURAL</t>
  </si>
  <si>
    <t>KRISHNA</t>
  </si>
  <si>
    <t>Police User</t>
  </si>
  <si>
    <t>SHO Pedaparupudi</t>
  </si>
  <si>
    <t>sho_pdpp_kri</t>
  </si>
  <si>
    <t>sho_pdpp@kri.appolice.gov.in</t>
  </si>
  <si>
    <t>ROBERTSONPET</t>
  </si>
  <si>
    <t>KUCHIPUDI</t>
  </si>
  <si>
    <t>Row Labels</t>
  </si>
  <si>
    <t>Grand Total</t>
  </si>
  <si>
    <t>Sum of Total Login</t>
  </si>
  <si>
    <t>(blank)</t>
  </si>
  <si>
    <t>BANTUMILLI</t>
  </si>
  <si>
    <t>PEDANA</t>
  </si>
  <si>
    <t>Unguturu</t>
  </si>
  <si>
    <t>GUDLAVALLERU</t>
  </si>
  <si>
    <t>NAGAYALANKA</t>
  </si>
  <si>
    <t>Pamidimukkala</t>
  </si>
  <si>
    <t>GHANTASALA</t>
  </si>
  <si>
    <t>GUDURU</t>
  </si>
  <si>
    <t>AVANIGADDA</t>
  </si>
  <si>
    <t>HANUMAN JUNCTION</t>
  </si>
  <si>
    <t>Machilipatnam Town</t>
  </si>
  <si>
    <t>Vuyyuru Rural</t>
  </si>
  <si>
    <t>Major Heinous Crimes</t>
  </si>
  <si>
    <t>Notorious Criminals (Arrested / Wanted)</t>
  </si>
  <si>
    <t>Important Seizure / Recoveries</t>
  </si>
  <si>
    <t>Jail Releases of Notorious Criminals</t>
  </si>
  <si>
    <t>Jail Breaks</t>
  </si>
  <si>
    <t>Major Human Trafficking Recoveries</t>
  </si>
  <si>
    <t>High Alerts / Hue &amp; Cry Notices</t>
  </si>
  <si>
    <t>Total no. of Alerts</t>
  </si>
  <si>
    <t>CHALLAPALLI</t>
  </si>
  <si>
    <t>KODURU</t>
  </si>
  <si>
    <t>KRUTHIVENNU</t>
  </si>
  <si>
    <t>Mahila UPS, Machilipatnam</t>
  </si>
  <si>
    <t>PAMARRU</t>
  </si>
  <si>
    <t>VEERAVALLI</t>
  </si>
  <si>
    <t>NANDIVADA</t>
  </si>
  <si>
    <t>TOTAL NUMBER OF ALERTS</t>
  </si>
  <si>
    <t>GUDIVADA II TOWN UPS</t>
  </si>
  <si>
    <t>VUYYURU RURAL</t>
  </si>
  <si>
    <t>PAMIDIMUKKALA</t>
  </si>
  <si>
    <t>UNGUTURU</t>
  </si>
  <si>
    <t>THOTLAVALLURU</t>
  </si>
  <si>
    <t>BANDAR TALUK PS</t>
  </si>
  <si>
    <t>CHILAKALAPUDI UPS</t>
  </si>
  <si>
    <t>ATKURU</t>
  </si>
  <si>
    <t>PENAMALURU UPS</t>
  </si>
  <si>
    <t>GUDIVADA I TOWN UPS</t>
  </si>
  <si>
    <t>INAGUDURU UPS</t>
  </si>
  <si>
    <t>MAHILA UPS, MACHILIPATNAM</t>
  </si>
  <si>
    <t>MACHILIPATNAM TOWN</t>
  </si>
  <si>
    <t>GANNAVARAM UPS</t>
  </si>
  <si>
    <t>KANKIPADU</t>
  </si>
  <si>
    <t>VUYYURU TOWN UPS</t>
  </si>
  <si>
    <t>Gudivada Traffic</t>
  </si>
  <si>
    <t>CCS, Machilipatnam</t>
  </si>
  <si>
    <t>Bandar Traffic</t>
  </si>
  <si>
    <t>CCS, Gudivada</t>
  </si>
  <si>
    <t>Kankipadu</t>
  </si>
  <si>
    <t>Gannavaram Traffic</t>
  </si>
  <si>
    <t>SHO Chilakalapudi</t>
  </si>
  <si>
    <t>sho_chpd_kri</t>
  </si>
  <si>
    <t>sho_chpd@kri.appolice.gov.in</t>
  </si>
  <si>
    <t>Beeram Srinivasarao</t>
  </si>
  <si>
    <t>B_14113404</t>
  </si>
  <si>
    <t>srinivasaraobeeram948@gmail.com</t>
  </si>
  <si>
    <t>Registered FIRs</t>
  </si>
  <si>
    <t>Ranking
(FIRs/ Total Alerts)</t>
  </si>
  <si>
    <t>1 to 7</t>
  </si>
  <si>
    <t>8 yo 14</t>
  </si>
  <si>
    <t>15 to 21</t>
  </si>
  <si>
    <t>CriMAC Alerts uploaded</t>
  </si>
  <si>
    <t>01.04.26 to 07.04.26</t>
  </si>
  <si>
    <t>08.04.26 to 14.04.26</t>
  </si>
  <si>
    <t>15.04.26 to 21.04.26</t>
  </si>
  <si>
    <t>3 Weeks Total</t>
  </si>
  <si>
    <t>SHO Gudlavalleru</t>
  </si>
  <si>
    <t>sho_gdlv_kri</t>
  </si>
  <si>
    <t>sho_gdlv@kri.appolice.gov.in</t>
  </si>
  <si>
    <t>SHO H.Junction</t>
  </si>
  <si>
    <t>sho_hjn_kri</t>
  </si>
  <si>
    <t>sho_hjn@kri.appolice.gov.in</t>
  </si>
  <si>
    <t>SHO KANKIPADU</t>
  </si>
  <si>
    <t>sho_kkp_kri</t>
  </si>
  <si>
    <t>sho_kkp@vza.appolice.gov.in</t>
  </si>
  <si>
    <t>SHO UNGUTURU</t>
  </si>
  <si>
    <t>sho_ugt_kri</t>
  </si>
  <si>
    <t>sho_ugt@vza.appolice.gov.in</t>
  </si>
  <si>
    <t>SHO Kruttivennu</t>
  </si>
  <si>
    <t>sho_ktvn_kri</t>
  </si>
  <si>
    <t>sho_ktvn@kri.appolice.gov.in</t>
  </si>
  <si>
    <t>S SIVA NAGESWARA RAO</t>
  </si>
  <si>
    <t>PC_SIVA_2428</t>
  </si>
  <si>
    <t>sarikakrishnaveni999@gmail.com</t>
  </si>
  <si>
    <t>Chilakalapudi UPS</t>
  </si>
  <si>
    <t>CriMAC alerts uploaded information: 04-06-2026 To 09-06-2026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</si>
</sst>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4"/>
      <color rgb="FF212529"/>
      <name val="Segoe UI"/>
      <family val="2"/>
    </font>
    <font>
      <b/>
      <sz val="14"/>
      <color rgb="FF212529"/>
      <name val="Segoe UI"/>
      <family val="2"/>
    </font>
    <font>
      <b/>
      <sz val="14"/>
      <color rgb="FF0000FF"/>
      <name val="Segoe UI"/>
      <family val="2"/>
    </font>
    <font>
      <b/>
      <sz val="14"/>
      <color rgb="FFFFFFFF"/>
      <name val="Segoe UI"/>
      <family val="2"/>
    </font>
    <font>
      <b/>
      <sz val="11"/>
      <color rgb="FF000000"/>
      <name val="Prompt-medium"/>
    </font>
    <font>
      <sz val="11"/>
      <color rgb="FF000000"/>
      <name val="Prompt-medium"/>
    </font>
    <font>
      <sz val="10"/>
      <color indexed="8"/>
      <name val="Times New Roman"/>
      <family val="1"/>
    </font>
    <font>
      <sz val="10"/>
      <color indexed="8"/>
      <name val="Calibri"/>
      <family val="2"/>
      <scheme val="minor"/>
    </font>
    <font>
      <b/>
      <sz val="13.5"/>
      <color rgb="FF212529"/>
      <name val="Segoe UI"/>
      <family val="2"/>
    </font>
    <font>
      <b/>
      <sz val="12"/>
      <color rgb="FF212529"/>
      <name val="Segoe U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43A40"/>
        <bgColor indexed="64"/>
      </patternFill>
    </fill>
    <fill>
      <patternFill patternType="solid">
        <fgColor rgb="FFF3F9F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0FEE8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454D55"/>
      </right>
      <top style="medium">
        <color rgb="FFDEE2E6"/>
      </top>
      <bottom style="medium">
        <color rgb="FFDEE2E6"/>
      </bottom>
      <diagonal/>
    </border>
    <border>
      <left style="medium">
        <color rgb="FF454D55"/>
      </left>
      <right style="medium">
        <color rgb="FF454D55"/>
      </right>
      <top style="medium">
        <color rgb="FFDEE2E6"/>
      </top>
      <bottom style="medium">
        <color rgb="FFDEE2E6"/>
      </bottom>
      <diagonal/>
    </border>
    <border>
      <left style="medium">
        <color rgb="FF454D55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11111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 indent="1"/>
    </xf>
    <xf numFmtId="22" fontId="6" fillId="4" borderId="6" xfId="0" applyNumberFormat="1" applyFont="1" applyFill="1" applyBorder="1" applyAlignment="1">
      <alignment horizontal="left" vertical="center" wrapText="1" indent="1"/>
    </xf>
    <xf numFmtId="0" fontId="7" fillId="5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horizontal="left" vertical="center" wrapText="1" indent="1"/>
    </xf>
    <xf numFmtId="22" fontId="6" fillId="4" borderId="5" xfId="0" applyNumberFormat="1" applyFont="1" applyFill="1" applyBorder="1" applyAlignment="1">
      <alignment horizontal="left" vertical="center" wrapText="1" indent="1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vertical="center" wrapText="1"/>
    </xf>
    <xf numFmtId="0" fontId="14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9" fontId="12" fillId="0" borderId="7" xfId="1" applyFont="1" applyFill="1" applyBorder="1" applyAlignment="1">
      <alignment horizontal="center" vertical="center"/>
    </xf>
    <xf numFmtId="9" fontId="12" fillId="0" borderId="0" xfId="1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wrapText="1"/>
    </xf>
    <xf numFmtId="0" fontId="13" fillId="0" borderId="7" xfId="0" applyFont="1" applyBorder="1" applyAlignment="1">
      <alignment vertical="center" wrapText="1"/>
    </xf>
    <xf numFmtId="0" fontId="16" fillId="8" borderId="7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vertical="top" wrapText="1"/>
    </xf>
    <xf numFmtId="0" fontId="9" fillId="7" borderId="9" xfId="0" applyFont="1" applyFill="1" applyBorder="1" applyAlignment="1">
      <alignment vertical="top" wrapText="1"/>
    </xf>
    <xf numFmtId="0" fontId="17" fillId="0" borderId="1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Downloads%20from%2007.12.25\export%20-%202026-04-25T055159.564%2015%20t0%2021.xls" TargetMode="External"/><Relationship Id="rId1" Type="http://schemas.openxmlformats.org/officeDocument/2006/relationships/externalLinkPath" Target="file:///F:\Downloads%20from%2007.12.25\export%20-%202026-04-25T055159.564%2015%20t0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 - 2026-04-25T055159.564 "/>
    </sheetNames>
    <sheetDataSet>
      <sheetData sheetId="0">
        <row r="1">
          <cell r="A1" t="str">
            <v>Unit Name</v>
          </cell>
          <cell r="B1" t="str">
            <v>No. of FIRs registered in CCTNS</v>
          </cell>
        </row>
        <row r="2">
          <cell r="A2" t="str">
            <v>Atkuru</v>
          </cell>
          <cell r="B2">
            <v>3</v>
          </cell>
        </row>
        <row r="3">
          <cell r="A3" t="str">
            <v>Avanigadda</v>
          </cell>
          <cell r="B3">
            <v>17</v>
          </cell>
        </row>
        <row r="4">
          <cell r="A4" t="str">
            <v>Bandar Taluk PS</v>
          </cell>
          <cell r="B4">
            <v>26</v>
          </cell>
        </row>
        <row r="5">
          <cell r="A5" t="str">
            <v>Bantumilli</v>
          </cell>
          <cell r="B5">
            <v>31</v>
          </cell>
        </row>
        <row r="6">
          <cell r="A6" t="str">
            <v>Challapalli</v>
          </cell>
          <cell r="B6">
            <v>35</v>
          </cell>
        </row>
        <row r="7">
          <cell r="A7" t="str">
            <v>Chilakalapudi UPS</v>
          </cell>
          <cell r="B7">
            <v>34</v>
          </cell>
        </row>
        <row r="8">
          <cell r="A8" t="str">
            <v>Gannavaram UPS</v>
          </cell>
          <cell r="B8">
            <v>20</v>
          </cell>
        </row>
        <row r="9">
          <cell r="A9" t="str">
            <v>Ghantasala</v>
          </cell>
          <cell r="B9">
            <v>20</v>
          </cell>
        </row>
        <row r="10">
          <cell r="A10" t="str">
            <v>Gudivada I Town UPS</v>
          </cell>
          <cell r="B10">
            <v>31</v>
          </cell>
        </row>
        <row r="11">
          <cell r="A11" t="str">
            <v>Gudivada II Town UPS</v>
          </cell>
          <cell r="B11">
            <v>28</v>
          </cell>
        </row>
        <row r="12">
          <cell r="A12" t="str">
            <v>Gudivada Rural</v>
          </cell>
          <cell r="B12">
            <v>22</v>
          </cell>
        </row>
        <row r="13">
          <cell r="A13" t="str">
            <v>Gudlavalleru</v>
          </cell>
          <cell r="B13">
            <v>18</v>
          </cell>
        </row>
        <row r="14">
          <cell r="A14" t="str">
            <v>Guduru</v>
          </cell>
          <cell r="B14">
            <v>21</v>
          </cell>
        </row>
        <row r="15">
          <cell r="A15" t="str">
            <v>Hanuman Junction</v>
          </cell>
          <cell r="B15">
            <v>32</v>
          </cell>
        </row>
        <row r="16">
          <cell r="A16" t="str">
            <v>Inaguduru UPS</v>
          </cell>
          <cell r="B16">
            <v>34</v>
          </cell>
        </row>
        <row r="17">
          <cell r="A17" t="str">
            <v>Kankipadu</v>
          </cell>
          <cell r="B17">
            <v>27</v>
          </cell>
        </row>
        <row r="18">
          <cell r="A18" t="str">
            <v>Koduru</v>
          </cell>
          <cell r="B18">
            <v>17</v>
          </cell>
        </row>
        <row r="19">
          <cell r="A19" t="str">
            <v>Kruthivennu</v>
          </cell>
          <cell r="B19">
            <v>24</v>
          </cell>
        </row>
        <row r="20">
          <cell r="A20" t="str">
            <v>Kuchipudi</v>
          </cell>
          <cell r="B20">
            <v>6</v>
          </cell>
        </row>
        <row r="21">
          <cell r="A21" t="str">
            <v>Machilipatnam Town</v>
          </cell>
          <cell r="B21">
            <v>32</v>
          </cell>
        </row>
        <row r="22">
          <cell r="A22" t="str">
            <v>Nagayalanka</v>
          </cell>
          <cell r="B22">
            <v>13</v>
          </cell>
        </row>
        <row r="23">
          <cell r="A23" t="str">
            <v>Nandivada</v>
          </cell>
          <cell r="B23">
            <v>19</v>
          </cell>
        </row>
        <row r="24">
          <cell r="A24" t="str">
            <v>Pamarru</v>
          </cell>
          <cell r="B24">
            <v>22</v>
          </cell>
        </row>
        <row r="25">
          <cell r="A25" t="str">
            <v>Pamidimukkala</v>
          </cell>
          <cell r="B25">
            <v>29</v>
          </cell>
        </row>
        <row r="26">
          <cell r="A26" t="str">
            <v>Pedana</v>
          </cell>
          <cell r="B26">
            <v>25</v>
          </cell>
        </row>
        <row r="27">
          <cell r="A27" t="str">
            <v>Pedaparupudi</v>
          </cell>
          <cell r="B27">
            <v>20</v>
          </cell>
        </row>
        <row r="28">
          <cell r="A28" t="str">
            <v>Penamaluru UPS</v>
          </cell>
          <cell r="B28">
            <v>30</v>
          </cell>
        </row>
        <row r="29">
          <cell r="A29" t="str">
            <v>Robertsonpet</v>
          </cell>
          <cell r="B29">
            <v>33</v>
          </cell>
        </row>
        <row r="30">
          <cell r="A30" t="str">
            <v>Thotlavalluru</v>
          </cell>
          <cell r="B30">
            <v>21</v>
          </cell>
        </row>
        <row r="31">
          <cell r="A31" t="str">
            <v>Unguturu</v>
          </cell>
          <cell r="B31">
            <v>13</v>
          </cell>
        </row>
        <row r="32">
          <cell r="A32" t="str">
            <v>Veeravalli</v>
          </cell>
          <cell r="B32">
            <v>13</v>
          </cell>
        </row>
        <row r="33">
          <cell r="A33" t="str">
            <v>Vuyyuru Rural</v>
          </cell>
          <cell r="B33">
            <v>17</v>
          </cell>
        </row>
        <row r="34">
          <cell r="A34" t="str">
            <v>Vuyyuru Town UPS</v>
          </cell>
          <cell r="B34">
            <v>20</v>
          </cell>
        </row>
        <row r="35">
          <cell r="A35" t="str">
            <v>Total</v>
          </cell>
          <cell r="B35">
            <v>753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-1" refreshedDate="46183.249646990742" createdVersion="8" refreshedVersion="8" minRefreshableVersion="3" recordCount="34" xr:uid="{3615B5B0-4282-4F27-A9DB-CC1373F1F429}">
  <cacheSource type="worksheet">
    <worksheetSource ref="C1:J48" sheet="ICJS"/>
  </cacheSource>
  <cacheFields count="8">
    <cacheField name="Police Station" numFmtId="0">
      <sharedItems containsBlank="1" count="45">
        <s v="CHILAKALAPUDI UPS"/>
        <s v="GUDLAVALLERU"/>
        <s v="HANUMAN JUNCTION"/>
        <s v="Kankipadu"/>
        <s v="KRUTHIVENNU"/>
        <s v="Machilipatnam Town"/>
        <s v="Pamidimukkala"/>
        <s v="PEDAPARUPUDI"/>
        <s v="Unguturu"/>
        <m/>
        <s v="CHILAKALAPUDI" u="1"/>
        <s v="AVANIGADDA" u="1"/>
        <s v="Bandar Taluk PS" u="1"/>
        <s v="BANTUMILLI" u="1"/>
        <s v="CCS, Gudivada" u="1"/>
        <s v="CCS, Machilipatnam" u="1"/>
        <s v="CHALLAPALLI" u="1"/>
        <s v="Gannavaram Traffic" u="1"/>
        <s v="GUDIVADA II TOWN UPS" u="1"/>
        <s v="GUDIVADA I TOWN UPS" u="1"/>
        <s v="Gudivada Traffic" u="1"/>
        <s v="KODURU" u="1"/>
        <s v="Mahila UPS, Machilipatnam" u="1"/>
        <s v="NAGAYALANKA" u="1"/>
        <s v="PEDANA" u="1"/>
        <s v="Penamaluru UPS" u="1"/>
        <s v="ROBERTSONPET" u="1"/>
        <s v="Thotlavalluru" u="1"/>
        <s v="Gannavaram UPS" u="1"/>
        <s v="GHANTASALA" u="1"/>
        <s v="GUDIVADA RURAL" u="1"/>
        <s v="GUDURU" u="1"/>
        <s v="INAGUDURU UPS" u="1"/>
        <s v="KUCHIPUDI" u="1"/>
        <s v="NANDIVADA" u="1"/>
        <s v="Vuyyuru Rural" u="1"/>
        <s v="Atkuru" u="1"/>
        <s v="PAMARRU" u="1"/>
        <s v="VEERAVALLI" u="1"/>
        <s v="Vuyyuru Town UPS" u="1"/>
        <s v="GUDIVADA II TOWN" u="1"/>
        <s v="GUDIVADA I TOWN" u="1"/>
        <s v="Gannavaram" u="1"/>
        <s v="Penamaluru" u="1"/>
        <s v="Vuyyuru Town" u="1"/>
      </sharedItems>
    </cacheField>
    <cacheField name="User Level" numFmtId="0">
      <sharedItems containsBlank="1"/>
    </cacheField>
    <cacheField name="User Type" numFmtId="0">
      <sharedItems containsBlank="1"/>
    </cacheField>
    <cacheField name="User Name" numFmtId="0">
      <sharedItems containsBlank="1"/>
    </cacheField>
    <cacheField name="Login Id" numFmtId="0">
      <sharedItems containsBlank="1"/>
    </cacheField>
    <cacheField name="Email Id" numFmtId="0">
      <sharedItems containsBlank="1"/>
    </cacheField>
    <cacheField name="Last Login Date" numFmtId="0">
      <sharedItems containsNonDate="0" containsDate="1" containsString="0" containsBlank="1" minDate="2026-06-01T22:02:00" maxDate="2026-06-09T21:29:00"/>
    </cacheField>
    <cacheField name="Total Login" numFmtId="0">
      <sharedItems containsString="0" containsBlank="1" containsNumber="1" containsInteger="1" minValue="2" maxValue="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s v="Police Station"/>
    <s v="Police User"/>
    <s v="SHO Chilakalapudi"/>
    <s v="sho_chpd_kri"/>
    <s v="sho_chpd@kri.appolice.gov.in"/>
    <d v="2026-06-03T21:51:00"/>
    <n v="42"/>
  </r>
  <r>
    <x v="1"/>
    <s v="Police Station"/>
    <s v="Police User"/>
    <s v="SHO Gudlavalleru"/>
    <s v="sho_gdlv_kri"/>
    <s v="sho_gdlv@kri.appolice.gov.in"/>
    <d v="2026-06-02T09:38:00"/>
    <n v="2"/>
  </r>
  <r>
    <x v="2"/>
    <s v="Police Station"/>
    <s v="Police User"/>
    <s v="SHO H.Junction"/>
    <s v="sho_hjn_kri"/>
    <s v="sho_hjn@kri.appolice.gov.in"/>
    <d v="2026-06-08T21:30:00"/>
    <n v="2"/>
  </r>
  <r>
    <x v="3"/>
    <s v="Police Station"/>
    <s v="Police User"/>
    <s v="SHO KANKIPADU"/>
    <s v="sho_kkp_kri"/>
    <s v="sho_kkp@vza.appolice.gov.in"/>
    <d v="2026-06-03T10:35:00"/>
    <n v="2"/>
  </r>
  <r>
    <x v="4"/>
    <s v="Police Station"/>
    <s v="Police User"/>
    <s v="SHO Kruttivennu"/>
    <s v="sho_ktvn_kri"/>
    <s v="sho_ktvn@kri.appolice.gov.in"/>
    <d v="2026-06-09T17:28:00"/>
    <n v="2"/>
  </r>
  <r>
    <x v="5"/>
    <s v="Police Station"/>
    <s v="Police User"/>
    <s v="Beeram Srinivasarao"/>
    <s v="B_14113404"/>
    <s v="srinivasaraobeeram948@gmail.com"/>
    <d v="2026-06-01T22:02:00"/>
    <n v="67"/>
  </r>
  <r>
    <x v="6"/>
    <s v="Police Station"/>
    <s v="Police User"/>
    <s v="S SIVA NAGESWARA RAO"/>
    <s v="PC_SIVA_2428"/>
    <s v="sarikakrishnaveni999@gmail.com"/>
    <d v="2026-06-09T21:29:00"/>
    <n v="4"/>
  </r>
  <r>
    <x v="7"/>
    <s v="Police Station"/>
    <s v="Police User"/>
    <s v="SHO Pedaparupudi"/>
    <s v="sho_pdpp_kri"/>
    <s v="sho_pdpp@kri.appolice.gov.in"/>
    <d v="2026-06-09T20:53:00"/>
    <n v="35"/>
  </r>
  <r>
    <x v="8"/>
    <s v="Police Station"/>
    <s v="Police User"/>
    <s v="SHO UNGUTURU"/>
    <s v="sho_ugt_kri"/>
    <s v="sho_ugt@vza.appolice.gov.in"/>
    <d v="2026-06-05T12:12:00"/>
    <n v="2"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  <r>
    <x v="9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6845A-BFF5-4DEB-9C9C-7EA6728A4C6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2" firstHeaderRow="1" firstDataRow="1" firstDataCol="1"/>
  <pivotFields count="8">
    <pivotField axis="axisRow" showAll="0">
      <items count="46">
        <item m="1" x="11"/>
        <item m="1" x="12"/>
        <item x="0"/>
        <item m="1" x="28"/>
        <item m="1" x="19"/>
        <item m="1" x="18"/>
        <item m="1" x="30"/>
        <item x="1"/>
        <item m="1" x="31"/>
        <item x="2"/>
        <item m="1" x="21"/>
        <item m="1" x="33"/>
        <item x="5"/>
        <item m="1" x="22"/>
        <item m="1" x="23"/>
        <item m="1" x="34"/>
        <item m="1" x="37"/>
        <item x="6"/>
        <item x="7"/>
        <item m="1" x="25"/>
        <item m="1" x="27"/>
        <item x="8"/>
        <item m="1" x="38"/>
        <item m="1" x="39"/>
        <item x="9"/>
        <item m="1" x="10"/>
        <item m="1" x="42"/>
        <item m="1" x="40"/>
        <item m="1" x="41"/>
        <item m="1" x="43"/>
        <item m="1" x="44"/>
        <item m="1" x="36"/>
        <item m="1" x="32"/>
        <item m="1" x="16"/>
        <item m="1" x="29"/>
        <item m="1" x="35"/>
        <item x="3"/>
        <item m="1" x="24"/>
        <item m="1" x="13"/>
        <item m="1" x="14"/>
        <item m="1" x="15"/>
        <item m="1" x="17"/>
        <item m="1" x="26"/>
        <item m="1" x="2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1">
    <i>
      <x v="2"/>
    </i>
    <i>
      <x v="7"/>
    </i>
    <i>
      <x v="9"/>
    </i>
    <i>
      <x v="12"/>
    </i>
    <i>
      <x v="17"/>
    </i>
    <i>
      <x v="18"/>
    </i>
    <i>
      <x v="21"/>
    </i>
    <i>
      <x v="24"/>
    </i>
    <i>
      <x v="36"/>
    </i>
    <i>
      <x v="44"/>
    </i>
    <i t="grand">
      <x/>
    </i>
  </rowItems>
  <colItems count="1">
    <i/>
  </colItems>
  <dataFields count="1">
    <dataField name="Sum of Total Login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E009-EA82-4A62-8D94-AD499179094B}">
  <dimension ref="B1:G40"/>
  <sheetViews>
    <sheetView topLeftCell="A15" workbookViewId="0">
      <selection activeCell="F12" sqref="F12"/>
    </sheetView>
  </sheetViews>
  <sheetFormatPr defaultRowHeight="15"/>
  <cols>
    <col min="2" max="2" width="13.7109375" customWidth="1"/>
    <col min="3" max="3" width="39.42578125" customWidth="1"/>
    <col min="4" max="4" width="23.42578125" customWidth="1"/>
    <col min="7" max="7" width="34" customWidth="1"/>
  </cols>
  <sheetData>
    <row r="1" spans="2:7" ht="41.25" thickBot="1">
      <c r="B1" s="4" t="s">
        <v>2</v>
      </c>
      <c r="C1" s="5" t="s">
        <v>3</v>
      </c>
      <c r="D1" s="6" t="s">
        <v>4</v>
      </c>
    </row>
    <row r="2" spans="2:7" ht="21" thickBot="1">
      <c r="B2" s="1">
        <v>1</v>
      </c>
      <c r="C2" s="2" t="s">
        <v>20</v>
      </c>
      <c r="D2" s="3">
        <v>87</v>
      </c>
    </row>
    <row r="3" spans="2:7" ht="21" thickBot="1">
      <c r="B3" s="1">
        <v>2</v>
      </c>
      <c r="C3" s="2" t="s">
        <v>42</v>
      </c>
      <c r="D3" s="3">
        <v>321</v>
      </c>
    </row>
    <row r="4" spans="2:7" ht="21" thickBot="1">
      <c r="B4" s="1">
        <v>3</v>
      </c>
      <c r="C4" s="2" t="s">
        <v>0</v>
      </c>
      <c r="D4" s="3">
        <v>6673</v>
      </c>
    </row>
    <row r="5" spans="2:7" ht="21" thickBot="1">
      <c r="B5" s="1">
        <v>4</v>
      </c>
      <c r="C5" s="2" t="s">
        <v>80</v>
      </c>
      <c r="D5" s="3">
        <v>734</v>
      </c>
    </row>
    <row r="6" spans="2:7" ht="21" thickBot="1">
      <c r="B6" s="1">
        <v>5</v>
      </c>
      <c r="C6" s="2" t="s">
        <v>34</v>
      </c>
      <c r="D6" s="3">
        <v>350</v>
      </c>
    </row>
    <row r="7" spans="2:7" ht="21" thickBot="1">
      <c r="B7" s="1">
        <v>6</v>
      </c>
      <c r="C7" s="2" t="s">
        <v>81</v>
      </c>
      <c r="D7" s="3">
        <v>234</v>
      </c>
    </row>
    <row r="8" spans="2:7" ht="21" thickBot="1">
      <c r="B8" s="1">
        <v>7</v>
      </c>
      <c r="C8" s="2" t="s">
        <v>79</v>
      </c>
      <c r="D8" s="3">
        <v>319</v>
      </c>
    </row>
    <row r="9" spans="2:7" ht="21" thickBot="1">
      <c r="B9" s="1">
        <v>8</v>
      </c>
      <c r="C9" s="2" t="s">
        <v>54</v>
      </c>
      <c r="D9" s="3">
        <v>3087</v>
      </c>
    </row>
    <row r="10" spans="2:7" ht="21" thickBot="1">
      <c r="B10" s="1">
        <v>9</v>
      </c>
      <c r="C10" s="2" t="s">
        <v>68</v>
      </c>
      <c r="D10" s="3">
        <v>202</v>
      </c>
    </row>
    <row r="11" spans="2:7" ht="21" thickBot="1">
      <c r="B11" s="1">
        <v>10</v>
      </c>
      <c r="C11" s="2" t="s">
        <v>18</v>
      </c>
      <c r="D11" s="3">
        <v>1914</v>
      </c>
    </row>
    <row r="12" spans="2:7" ht="21" thickBot="1">
      <c r="B12" s="1">
        <v>11</v>
      </c>
      <c r="C12" s="2" t="s">
        <v>83</v>
      </c>
      <c r="D12" s="3">
        <v>466</v>
      </c>
    </row>
    <row r="13" spans="2:7" ht="21" thickBot="1">
      <c r="B13" s="1">
        <v>12</v>
      </c>
      <c r="C13" s="2" t="s">
        <v>40</v>
      </c>
      <c r="D13" s="3">
        <v>116</v>
      </c>
      <c r="G13" s="11" t="s">
        <v>118</v>
      </c>
    </row>
    <row r="14" spans="2:7" ht="21" thickBot="1">
      <c r="B14" s="1">
        <v>13</v>
      </c>
      <c r="C14" s="2" t="s">
        <v>71</v>
      </c>
      <c r="D14" s="3">
        <v>748</v>
      </c>
      <c r="G14" s="11" t="s">
        <v>18</v>
      </c>
    </row>
    <row r="15" spans="2:7" ht="21" thickBot="1">
      <c r="B15" s="1">
        <v>14</v>
      </c>
      <c r="C15" s="2" t="s">
        <v>62</v>
      </c>
      <c r="D15" s="3">
        <v>771</v>
      </c>
      <c r="G15" s="10" t="s">
        <v>14</v>
      </c>
    </row>
    <row r="16" spans="2:7" ht="21" thickBot="1">
      <c r="B16" s="1">
        <v>15</v>
      </c>
      <c r="C16" s="2" t="s">
        <v>22</v>
      </c>
      <c r="D16" s="3">
        <v>4085</v>
      </c>
      <c r="G16" s="10" t="s">
        <v>15</v>
      </c>
    </row>
    <row r="17" spans="2:7" ht="21" thickBot="1">
      <c r="B17" s="1">
        <v>16</v>
      </c>
      <c r="C17" s="2" t="s">
        <v>78</v>
      </c>
      <c r="D17" s="3">
        <v>31985</v>
      </c>
      <c r="G17" s="11" t="s">
        <v>17</v>
      </c>
    </row>
    <row r="18" spans="2:7" ht="21" thickBot="1">
      <c r="B18" s="1">
        <v>17</v>
      </c>
      <c r="C18" s="2" t="s">
        <v>37</v>
      </c>
      <c r="D18" s="3">
        <v>243</v>
      </c>
      <c r="G18" s="10" t="s">
        <v>16</v>
      </c>
    </row>
    <row r="19" spans="2:7" ht="21" thickBot="1">
      <c r="B19" s="1">
        <v>18</v>
      </c>
      <c r="C19" s="2" t="s">
        <v>41</v>
      </c>
      <c r="D19" s="3">
        <v>185</v>
      </c>
      <c r="G19" s="10" t="s">
        <v>19</v>
      </c>
    </row>
    <row r="20" spans="2:7" ht="21" thickBot="1">
      <c r="B20" s="1">
        <v>19</v>
      </c>
      <c r="C20" s="2" t="s">
        <v>43</v>
      </c>
      <c r="D20" s="3">
        <v>334</v>
      </c>
    </row>
    <row r="21" spans="2:7" ht="21" thickBot="1">
      <c r="B21" s="1">
        <v>20</v>
      </c>
      <c r="C21" s="2" t="s">
        <v>72</v>
      </c>
      <c r="D21" s="3">
        <v>451</v>
      </c>
    </row>
    <row r="22" spans="2:7" ht="21" thickBot="1">
      <c r="B22" s="1">
        <v>21</v>
      </c>
      <c r="C22" s="2" t="s">
        <v>82</v>
      </c>
      <c r="D22" s="3">
        <v>1181</v>
      </c>
    </row>
    <row r="23" spans="2:7" ht="21" thickBot="1">
      <c r="B23" s="1">
        <v>22</v>
      </c>
      <c r="C23" s="2" t="s">
        <v>55</v>
      </c>
      <c r="D23" s="3">
        <v>169</v>
      </c>
    </row>
    <row r="24" spans="2:7" ht="21" thickBot="1">
      <c r="B24" s="1">
        <v>23</v>
      </c>
      <c r="C24" s="2" t="s">
        <v>56</v>
      </c>
      <c r="D24" s="3">
        <v>421</v>
      </c>
    </row>
    <row r="25" spans="2:7" ht="21" thickBot="1">
      <c r="B25" s="1">
        <v>24</v>
      </c>
      <c r="C25" s="2" t="s">
        <v>29</v>
      </c>
      <c r="D25" s="3">
        <v>81</v>
      </c>
    </row>
    <row r="26" spans="2:7" ht="21" thickBot="1">
      <c r="B26" s="1">
        <v>25</v>
      </c>
      <c r="C26" s="2" t="s">
        <v>44</v>
      </c>
      <c r="D26" s="3">
        <v>257</v>
      </c>
    </row>
    <row r="27" spans="2:7" ht="21" thickBot="1">
      <c r="B27" s="1">
        <v>26</v>
      </c>
      <c r="C27" s="2" t="s">
        <v>57</v>
      </c>
      <c r="D27" s="3">
        <v>335</v>
      </c>
    </row>
    <row r="28" spans="2:7" ht="21" thickBot="1">
      <c r="B28" s="1">
        <v>27</v>
      </c>
      <c r="C28" s="2" t="s">
        <v>38</v>
      </c>
      <c r="D28" s="3">
        <v>181</v>
      </c>
    </row>
    <row r="29" spans="2:7" ht="21" thickBot="1">
      <c r="B29" s="1">
        <v>28</v>
      </c>
      <c r="C29" s="2" t="s">
        <v>60</v>
      </c>
      <c r="D29" s="3">
        <v>4098</v>
      </c>
    </row>
    <row r="30" spans="2:7" ht="21" thickBot="1">
      <c r="B30" s="1">
        <v>29</v>
      </c>
      <c r="C30" s="2" t="s">
        <v>58</v>
      </c>
      <c r="D30" s="3">
        <v>3200</v>
      </c>
    </row>
    <row r="31" spans="2:7" ht="21" thickBot="1">
      <c r="B31" s="1">
        <v>30</v>
      </c>
      <c r="C31" s="2" t="s">
        <v>39</v>
      </c>
      <c r="D31" s="3">
        <v>4238</v>
      </c>
    </row>
    <row r="32" spans="2:7" ht="21" thickBot="1">
      <c r="B32" s="1">
        <v>31</v>
      </c>
      <c r="C32" s="2" t="s">
        <v>35</v>
      </c>
      <c r="D32" s="3">
        <v>225</v>
      </c>
    </row>
    <row r="33" spans="2:4" ht="21" thickBot="1">
      <c r="B33" s="1">
        <v>32</v>
      </c>
      <c r="C33" s="2" t="s">
        <v>21</v>
      </c>
      <c r="D33" s="3">
        <v>3106</v>
      </c>
    </row>
    <row r="34" spans="2:4" ht="21" thickBot="1">
      <c r="B34" s="1">
        <v>33</v>
      </c>
      <c r="C34" s="2" t="s">
        <v>16</v>
      </c>
      <c r="D34" s="3">
        <v>434</v>
      </c>
    </row>
    <row r="35" spans="2:4" ht="21" thickBot="1">
      <c r="B35" s="1">
        <v>34</v>
      </c>
      <c r="C35" s="2" t="s">
        <v>28</v>
      </c>
      <c r="D35" s="3">
        <v>1200</v>
      </c>
    </row>
    <row r="36" spans="2:4" ht="21" thickBot="1">
      <c r="B36" s="1">
        <v>35</v>
      </c>
      <c r="C36" s="2" t="s">
        <v>1</v>
      </c>
      <c r="D36" s="3">
        <v>1675</v>
      </c>
    </row>
    <row r="37" spans="2:4" ht="21" thickBot="1">
      <c r="B37" s="1">
        <v>36</v>
      </c>
      <c r="C37" s="2" t="s">
        <v>36</v>
      </c>
      <c r="D37" s="3">
        <v>125</v>
      </c>
    </row>
    <row r="38" spans="2:4" ht="21" thickBot="1">
      <c r="B38" s="1">
        <v>37</v>
      </c>
      <c r="C38" s="2" t="s">
        <v>59</v>
      </c>
      <c r="D38" s="3">
        <v>85</v>
      </c>
    </row>
    <row r="39" spans="2:4" ht="21" thickBot="1">
      <c r="B39" s="1">
        <v>38</v>
      </c>
      <c r="C39" s="2" t="s">
        <v>45</v>
      </c>
      <c r="D39" s="3">
        <v>3297</v>
      </c>
    </row>
    <row r="40" spans="2:4" ht="21" thickBot="1">
      <c r="B40" s="1">
        <v>39</v>
      </c>
      <c r="C40" s="2" t="s">
        <v>19</v>
      </c>
      <c r="D40" s="3">
        <v>193</v>
      </c>
    </row>
  </sheetData>
  <autoFilter ref="B1:D36" xr:uid="{FB46E009-EA82-4A62-8D94-AD499179094B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166A-308A-4802-9F36-0D16DAD68DEC}">
  <dimension ref="A1:M34"/>
  <sheetViews>
    <sheetView tabSelected="1" zoomScaleNormal="100" workbookViewId="0">
      <selection activeCell="O11" sqref="O11"/>
    </sheetView>
  </sheetViews>
  <sheetFormatPr defaultRowHeight="15"/>
  <cols>
    <col min="2" max="2" width="0" hidden="1" customWidth="1"/>
    <col min="3" max="3" width="31.28515625" style="15" customWidth="1"/>
    <col min="4" max="5" width="14.7109375" hidden="1" customWidth="1"/>
    <col min="6" max="6" width="24.5703125" hidden="1" customWidth="1"/>
    <col min="7" max="7" width="22" customWidth="1"/>
    <col min="8" max="8" width="18.85546875" hidden="1" customWidth="1"/>
    <col min="9" max="9" width="17.140625" hidden="1" customWidth="1"/>
    <col min="10" max="10" width="18.42578125" customWidth="1"/>
    <col min="12" max="12" width="20.42578125" bestFit="1" customWidth="1"/>
    <col min="13" max="13" width="17.42578125" bestFit="1" customWidth="1"/>
  </cols>
  <sheetData>
    <row r="1" spans="1:13" ht="15.75" thickBot="1">
      <c r="A1" s="7" t="s">
        <v>5</v>
      </c>
      <c r="B1" s="7" t="s">
        <v>6</v>
      </c>
      <c r="C1" s="32" t="s">
        <v>3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13</v>
      </c>
      <c r="L1" s="14" t="s">
        <v>30</v>
      </c>
      <c r="M1" t="s">
        <v>32</v>
      </c>
    </row>
    <row r="2" spans="1:13" ht="18" customHeight="1" thickBot="1">
      <c r="A2" s="8">
        <v>1</v>
      </c>
      <c r="B2" s="8" t="s">
        <v>23</v>
      </c>
      <c r="C2" s="8" t="s">
        <v>68</v>
      </c>
      <c r="D2" s="8" t="s">
        <v>3</v>
      </c>
      <c r="E2" s="8" t="s">
        <v>24</v>
      </c>
      <c r="F2" s="8" t="s">
        <v>84</v>
      </c>
      <c r="G2" s="8" t="s">
        <v>85</v>
      </c>
      <c r="H2" s="8" t="s">
        <v>86</v>
      </c>
      <c r="I2" s="9">
        <v>46176.910416666666</v>
      </c>
      <c r="J2" s="8">
        <v>42</v>
      </c>
      <c r="L2" s="15" t="s">
        <v>68</v>
      </c>
      <c r="M2" s="39">
        <v>42</v>
      </c>
    </row>
    <row r="3" spans="1:13" ht="18" customHeight="1" thickBot="1">
      <c r="A3" s="8">
        <v>2</v>
      </c>
      <c r="B3" s="8" t="s">
        <v>23</v>
      </c>
      <c r="C3" s="8" t="s">
        <v>37</v>
      </c>
      <c r="D3" s="8" t="s">
        <v>3</v>
      </c>
      <c r="E3" s="8" t="s">
        <v>24</v>
      </c>
      <c r="F3" s="8" t="s">
        <v>100</v>
      </c>
      <c r="G3" s="8" t="s">
        <v>101</v>
      </c>
      <c r="H3" s="8" t="s">
        <v>102</v>
      </c>
      <c r="I3" s="9">
        <v>46175.401388888888</v>
      </c>
      <c r="J3" s="8">
        <v>2</v>
      </c>
      <c r="L3" s="15" t="s">
        <v>37</v>
      </c>
      <c r="M3" s="39">
        <v>2</v>
      </c>
    </row>
    <row r="4" spans="1:13" ht="18" customHeight="1" thickBot="1">
      <c r="A4" s="8">
        <v>3</v>
      </c>
      <c r="B4" s="8" t="s">
        <v>23</v>
      </c>
      <c r="C4" s="8" t="s">
        <v>43</v>
      </c>
      <c r="D4" s="8" t="s">
        <v>3</v>
      </c>
      <c r="E4" s="8" t="s">
        <v>24</v>
      </c>
      <c r="F4" s="8" t="s">
        <v>103</v>
      </c>
      <c r="G4" s="8" t="s">
        <v>104</v>
      </c>
      <c r="H4" s="8" t="s">
        <v>105</v>
      </c>
      <c r="I4" s="9">
        <v>46181.895833333336</v>
      </c>
      <c r="J4" s="8">
        <v>2</v>
      </c>
      <c r="L4" s="15" t="s">
        <v>43</v>
      </c>
      <c r="M4" s="39">
        <v>2</v>
      </c>
    </row>
    <row r="5" spans="1:13" ht="18" customHeight="1" thickBot="1">
      <c r="A5" s="8">
        <v>4</v>
      </c>
      <c r="B5" s="8" t="s">
        <v>23</v>
      </c>
      <c r="C5" s="8" t="s">
        <v>82</v>
      </c>
      <c r="D5" s="8" t="s">
        <v>3</v>
      </c>
      <c r="E5" s="8" t="s">
        <v>24</v>
      </c>
      <c r="F5" s="8" t="s">
        <v>106</v>
      </c>
      <c r="G5" s="8" t="s">
        <v>107</v>
      </c>
      <c r="H5" s="8" t="s">
        <v>108</v>
      </c>
      <c r="I5" s="9">
        <v>46176.440972222219</v>
      </c>
      <c r="J5" s="8">
        <v>2</v>
      </c>
      <c r="L5" s="15" t="s">
        <v>44</v>
      </c>
      <c r="M5" s="39">
        <v>67</v>
      </c>
    </row>
    <row r="6" spans="1:13" ht="18" customHeight="1" thickBot="1">
      <c r="A6" s="8">
        <v>5</v>
      </c>
      <c r="B6" s="8" t="s">
        <v>23</v>
      </c>
      <c r="C6" s="8" t="s">
        <v>56</v>
      </c>
      <c r="D6" s="8" t="s">
        <v>3</v>
      </c>
      <c r="E6" s="8" t="s">
        <v>24</v>
      </c>
      <c r="F6" s="8" t="s">
        <v>112</v>
      </c>
      <c r="G6" s="8" t="s">
        <v>113</v>
      </c>
      <c r="H6" s="8" t="s">
        <v>114</v>
      </c>
      <c r="I6" s="9">
        <v>46182.727777777778</v>
      </c>
      <c r="J6" s="8">
        <v>2</v>
      </c>
      <c r="L6" s="15" t="s">
        <v>39</v>
      </c>
      <c r="M6" s="39">
        <v>4</v>
      </c>
    </row>
    <row r="7" spans="1:13" ht="18" customHeight="1" thickBot="1">
      <c r="A7" s="8">
        <v>6</v>
      </c>
      <c r="B7" s="8" t="s">
        <v>23</v>
      </c>
      <c r="C7" s="8" t="s">
        <v>44</v>
      </c>
      <c r="D7" s="8" t="s">
        <v>3</v>
      </c>
      <c r="E7" s="8" t="s">
        <v>24</v>
      </c>
      <c r="F7" s="8" t="s">
        <v>87</v>
      </c>
      <c r="G7" s="8" t="s">
        <v>88</v>
      </c>
      <c r="H7" s="8" t="s">
        <v>89</v>
      </c>
      <c r="I7" s="9">
        <v>46174.918055555558</v>
      </c>
      <c r="J7" s="8">
        <v>67</v>
      </c>
      <c r="L7" s="15" t="s">
        <v>21</v>
      </c>
      <c r="M7" s="39">
        <v>35</v>
      </c>
    </row>
    <row r="8" spans="1:13" ht="18" customHeight="1" thickBot="1">
      <c r="A8" s="8">
        <v>7</v>
      </c>
      <c r="B8" s="8" t="s">
        <v>23</v>
      </c>
      <c r="C8" s="8" t="s">
        <v>39</v>
      </c>
      <c r="D8" s="8" t="s">
        <v>3</v>
      </c>
      <c r="E8" s="8" t="s">
        <v>24</v>
      </c>
      <c r="F8" s="8" t="s">
        <v>115</v>
      </c>
      <c r="G8" s="8" t="s">
        <v>116</v>
      </c>
      <c r="H8" s="8" t="s">
        <v>117</v>
      </c>
      <c r="I8" s="9">
        <v>46182.895138888889</v>
      </c>
      <c r="J8" s="8">
        <v>4</v>
      </c>
      <c r="L8" s="15" t="s">
        <v>36</v>
      </c>
      <c r="M8" s="39">
        <v>2</v>
      </c>
    </row>
    <row r="9" spans="1:13" ht="18" customHeight="1" thickBot="1">
      <c r="A9" s="8">
        <v>8</v>
      </c>
      <c r="B9" s="8" t="s">
        <v>23</v>
      </c>
      <c r="C9" s="8" t="s">
        <v>21</v>
      </c>
      <c r="D9" s="8" t="s">
        <v>3</v>
      </c>
      <c r="E9" s="8" t="s">
        <v>24</v>
      </c>
      <c r="F9" s="8" t="s">
        <v>25</v>
      </c>
      <c r="G9" s="8" t="s">
        <v>26</v>
      </c>
      <c r="H9" s="8" t="s">
        <v>27</v>
      </c>
      <c r="I9" s="9">
        <v>46182.870138888888</v>
      </c>
      <c r="J9" s="8">
        <v>35</v>
      </c>
      <c r="L9" s="15" t="s">
        <v>33</v>
      </c>
      <c r="M9" s="39"/>
    </row>
    <row r="10" spans="1:13" ht="18" customHeight="1" thickBot="1">
      <c r="A10" s="12">
        <v>9</v>
      </c>
      <c r="B10" s="12" t="s">
        <v>23</v>
      </c>
      <c r="C10" s="12" t="s">
        <v>36</v>
      </c>
      <c r="D10" s="12" t="s">
        <v>3</v>
      </c>
      <c r="E10" s="12" t="s">
        <v>24</v>
      </c>
      <c r="F10" s="12" t="s">
        <v>109</v>
      </c>
      <c r="G10" s="12" t="s">
        <v>110</v>
      </c>
      <c r="H10" s="12" t="s">
        <v>111</v>
      </c>
      <c r="I10" s="13">
        <v>46178.508333333331</v>
      </c>
      <c r="J10" s="12">
        <v>2</v>
      </c>
      <c r="L10" s="15" t="s">
        <v>82</v>
      </c>
      <c r="M10" s="39">
        <v>2</v>
      </c>
    </row>
    <row r="11" spans="1:13" ht="18" customHeight="1" thickBot="1">
      <c r="A11" s="8"/>
      <c r="B11" s="8"/>
      <c r="C11" s="8"/>
      <c r="D11" s="8"/>
      <c r="E11" s="8"/>
      <c r="F11" s="8"/>
      <c r="G11" s="8"/>
      <c r="H11" s="8"/>
      <c r="I11" s="9"/>
      <c r="J11" s="8"/>
      <c r="L11" s="15" t="s">
        <v>56</v>
      </c>
      <c r="M11" s="39">
        <v>2</v>
      </c>
    </row>
    <row r="12" spans="1:13" ht="18" customHeight="1" thickBot="1">
      <c r="A12" s="8"/>
      <c r="B12" s="8"/>
      <c r="C12" s="8"/>
      <c r="D12" s="8"/>
      <c r="E12" s="8"/>
      <c r="F12" s="8"/>
      <c r="G12" s="8"/>
      <c r="H12" s="8"/>
      <c r="I12" s="9"/>
      <c r="J12" s="8"/>
      <c r="L12" s="15" t="s">
        <v>31</v>
      </c>
      <c r="M12" s="39">
        <v>158</v>
      </c>
    </row>
    <row r="13" spans="1:13" ht="18" customHeight="1" thickBot="1">
      <c r="A13" s="8"/>
      <c r="B13" s="8"/>
      <c r="C13" s="8"/>
      <c r="D13" s="8"/>
      <c r="E13" s="8"/>
      <c r="F13" s="8"/>
      <c r="G13" s="8"/>
      <c r="H13" s="8"/>
      <c r="I13" s="9"/>
      <c r="J13" s="8"/>
    </row>
    <row r="14" spans="1:13" ht="18" customHeight="1" thickBot="1">
      <c r="A14" s="8"/>
      <c r="B14" s="8"/>
      <c r="C14" s="8"/>
      <c r="D14" s="8"/>
      <c r="E14" s="8"/>
      <c r="F14" s="8"/>
      <c r="G14" s="8"/>
      <c r="H14" s="8"/>
      <c r="I14" s="9"/>
      <c r="J14" s="8"/>
    </row>
    <row r="15" spans="1:13" ht="18" customHeight="1" thickBot="1">
      <c r="A15" s="8"/>
      <c r="B15" s="8"/>
      <c r="C15" s="8"/>
      <c r="D15" s="8"/>
      <c r="E15" s="8"/>
      <c r="F15" s="8"/>
      <c r="G15" s="8"/>
      <c r="H15" s="8"/>
      <c r="I15" s="9"/>
      <c r="J15" s="8"/>
    </row>
    <row r="16" spans="1:13" ht="18" customHeight="1" thickBot="1">
      <c r="A16" s="8"/>
      <c r="B16" s="8"/>
      <c r="C16" s="8"/>
      <c r="D16" s="8"/>
      <c r="E16" s="8"/>
      <c r="F16" s="8"/>
      <c r="G16" s="8"/>
      <c r="H16" s="8"/>
      <c r="I16" s="9"/>
      <c r="J16" s="8"/>
    </row>
    <row r="17" spans="1:10" ht="18" customHeight="1" thickBot="1">
      <c r="A17" s="8"/>
      <c r="B17" s="8"/>
      <c r="C17" s="8"/>
      <c r="D17" s="8"/>
      <c r="E17" s="8"/>
      <c r="F17" s="8"/>
      <c r="G17" s="8"/>
      <c r="H17" s="8"/>
      <c r="I17" s="9"/>
      <c r="J17" s="8"/>
    </row>
    <row r="18" spans="1:10" ht="18" customHeight="1" thickBot="1">
      <c r="A18" s="8"/>
      <c r="B18" s="8"/>
      <c r="C18" s="8"/>
      <c r="D18" s="8"/>
      <c r="E18" s="8"/>
      <c r="F18" s="8"/>
      <c r="G18" s="8"/>
      <c r="H18" s="8"/>
      <c r="I18" s="9"/>
      <c r="J18" s="8"/>
    </row>
    <row r="19" spans="1:10" ht="18" customHeight="1" thickBot="1">
      <c r="A19" s="8"/>
      <c r="B19" s="8"/>
      <c r="C19" s="8"/>
      <c r="D19" s="8"/>
      <c r="E19" s="8"/>
      <c r="F19" s="8"/>
      <c r="G19" s="8"/>
      <c r="H19" s="8"/>
      <c r="I19" s="9"/>
      <c r="J19" s="8"/>
    </row>
    <row r="20" spans="1:10" ht="18" customHeight="1" thickBot="1">
      <c r="A20" s="8"/>
      <c r="B20" s="8"/>
      <c r="C20" s="8"/>
      <c r="D20" s="8"/>
      <c r="E20" s="8"/>
      <c r="F20" s="8"/>
      <c r="G20" s="8"/>
      <c r="H20" s="8"/>
      <c r="I20" s="9"/>
      <c r="J20" s="8"/>
    </row>
    <row r="21" spans="1:10" ht="18" customHeight="1" thickBot="1">
      <c r="A21" s="8"/>
      <c r="B21" s="8"/>
      <c r="C21" s="8"/>
      <c r="D21" s="8"/>
      <c r="E21" s="8"/>
      <c r="F21" s="8"/>
      <c r="G21" s="8"/>
      <c r="H21" s="8"/>
      <c r="I21" s="9"/>
      <c r="J21" s="8"/>
    </row>
    <row r="22" spans="1:10" ht="18" customHeight="1" thickBot="1">
      <c r="A22" s="8"/>
      <c r="B22" s="8"/>
      <c r="C22" s="8"/>
      <c r="D22" s="8"/>
      <c r="E22" s="8"/>
      <c r="F22" s="8"/>
      <c r="G22" s="8"/>
      <c r="H22" s="8"/>
      <c r="I22" s="9"/>
      <c r="J22" s="8"/>
    </row>
    <row r="23" spans="1:10" ht="18" customHeight="1" thickBot="1">
      <c r="A23" s="8"/>
      <c r="B23" s="8"/>
      <c r="C23" s="8"/>
      <c r="D23" s="8"/>
      <c r="E23" s="8"/>
      <c r="F23" s="8"/>
      <c r="G23" s="8"/>
      <c r="H23" s="8"/>
      <c r="I23" s="9"/>
      <c r="J23" s="8"/>
    </row>
    <row r="24" spans="1:10" ht="18" customHeight="1" thickBot="1">
      <c r="A24" s="8"/>
      <c r="B24" s="8"/>
      <c r="C24" s="8"/>
      <c r="D24" s="8"/>
      <c r="E24" s="8"/>
      <c r="F24" s="8"/>
      <c r="G24" s="8"/>
      <c r="H24" s="8"/>
      <c r="I24" s="9"/>
      <c r="J24" s="8"/>
    </row>
    <row r="25" spans="1:10" ht="18" customHeight="1" thickBot="1">
      <c r="A25" s="8"/>
      <c r="B25" s="8"/>
      <c r="C25" s="8"/>
      <c r="D25" s="8"/>
      <c r="E25" s="8"/>
      <c r="F25" s="8"/>
      <c r="G25" s="8"/>
      <c r="H25" s="8"/>
      <c r="I25" s="9"/>
      <c r="J25" s="8"/>
    </row>
    <row r="26" spans="1:10" ht="18" customHeight="1" thickBot="1">
      <c r="A26" s="8"/>
      <c r="B26" s="8"/>
      <c r="C26" s="8"/>
      <c r="D26" s="8"/>
      <c r="E26" s="8"/>
      <c r="F26" s="8"/>
      <c r="G26" s="8"/>
      <c r="H26" s="8"/>
      <c r="I26" s="9"/>
      <c r="J26" s="8"/>
    </row>
    <row r="27" spans="1:10" ht="18" customHeight="1" thickBot="1">
      <c r="A27" s="12"/>
      <c r="B27" s="12"/>
      <c r="C27" s="12"/>
      <c r="D27" s="12"/>
      <c r="E27" s="12"/>
      <c r="F27" s="12"/>
      <c r="G27" s="12"/>
      <c r="H27" s="12"/>
      <c r="I27" s="13"/>
      <c r="J27" s="12"/>
    </row>
    <row r="28" spans="1:10" ht="15.75" thickBot="1">
      <c r="A28" s="8"/>
      <c r="B28" s="8"/>
      <c r="C28" s="8"/>
      <c r="D28" s="8"/>
      <c r="E28" s="8"/>
      <c r="F28" s="8"/>
      <c r="G28" s="8"/>
      <c r="H28" s="8"/>
      <c r="I28" s="9"/>
      <c r="J28" s="8"/>
    </row>
    <row r="29" spans="1:10" ht="15.75" thickBot="1">
      <c r="A29" s="8"/>
      <c r="B29" s="8"/>
      <c r="C29" s="8"/>
      <c r="D29" s="8"/>
      <c r="E29" s="8"/>
      <c r="F29" s="8"/>
      <c r="G29" s="8"/>
      <c r="H29" s="8"/>
      <c r="I29" s="9"/>
      <c r="J29" s="8"/>
    </row>
    <row r="30" spans="1:10" ht="15.75" thickBot="1">
      <c r="A30" s="8"/>
      <c r="B30" s="8"/>
      <c r="C30" s="8"/>
      <c r="D30" s="8"/>
      <c r="E30" s="8"/>
      <c r="F30" s="8"/>
      <c r="G30" s="8"/>
      <c r="H30" s="8"/>
      <c r="I30" s="9"/>
      <c r="J30" s="8"/>
    </row>
    <row r="31" spans="1:10" ht="15.75" thickBot="1">
      <c r="A31" s="8"/>
      <c r="B31" s="8"/>
      <c r="C31" s="8"/>
      <c r="D31" s="8"/>
      <c r="E31" s="8"/>
      <c r="F31" s="8"/>
      <c r="G31" s="8"/>
      <c r="H31" s="8"/>
      <c r="I31" s="9"/>
      <c r="J31" s="8"/>
    </row>
    <row r="32" spans="1:10" ht="15.75" thickBot="1">
      <c r="A32" s="12"/>
      <c r="B32" s="12"/>
      <c r="C32" s="12"/>
      <c r="D32" s="12"/>
      <c r="E32" s="12"/>
      <c r="F32" s="12"/>
      <c r="G32" s="12"/>
      <c r="H32" s="12"/>
      <c r="I32" s="13"/>
      <c r="J32" s="12"/>
    </row>
    <row r="33" spans="1:10" ht="15.75" thickBot="1">
      <c r="A33" s="8"/>
      <c r="B33" s="8"/>
      <c r="C33" s="8"/>
      <c r="D33" s="8"/>
      <c r="E33" s="8"/>
      <c r="F33" s="8"/>
      <c r="G33" s="8"/>
      <c r="H33" s="8"/>
      <c r="I33" s="9"/>
      <c r="J33" s="8"/>
    </row>
    <row r="34" spans="1:10" ht="15.75" thickBot="1">
      <c r="A34" s="12"/>
      <c r="B34" s="12"/>
      <c r="C34" s="12"/>
      <c r="D34" s="12"/>
      <c r="E34" s="12"/>
      <c r="F34" s="12"/>
      <c r="G34" s="12"/>
      <c r="H34" s="12"/>
      <c r="I34" s="13"/>
      <c r="J34" s="12"/>
    </row>
  </sheetData>
  <conditionalFormatting sqref="C1 C35:C1048576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DD1D-2F3F-4FC7-BE63-1C8196BA727F}">
  <dimension ref="A1:L46"/>
  <sheetViews>
    <sheetView topLeftCell="A7" zoomScaleNormal="100" workbookViewId="0">
      <selection activeCell="E24" sqref="E24"/>
    </sheetView>
  </sheetViews>
  <sheetFormatPr defaultRowHeight="15"/>
  <cols>
    <col min="1" max="1" width="5.85546875" bestFit="1" customWidth="1"/>
    <col min="2" max="2" width="26.7109375" bestFit="1" customWidth="1"/>
    <col min="3" max="3" width="10.7109375" hidden="1" customWidth="1"/>
    <col min="5" max="5" width="10" customWidth="1"/>
    <col min="6" max="6" width="11" customWidth="1"/>
    <col min="7" max="7" width="10" customWidth="1"/>
    <col min="9" max="9" width="11" customWidth="1"/>
    <col min="12" max="12" width="0" style="20" hidden="1" customWidth="1"/>
    <col min="15" max="15" width="32.7109375" customWidth="1"/>
  </cols>
  <sheetData>
    <row r="1" spans="1:12" ht="25.5" customHeight="1">
      <c r="A1" s="34" t="s">
        <v>119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21"/>
    </row>
    <row r="2" spans="1:12" ht="63.75">
      <c r="A2" s="22" t="s">
        <v>2</v>
      </c>
      <c r="B2" s="22" t="s">
        <v>3</v>
      </c>
      <c r="C2" s="22" t="s">
        <v>90</v>
      </c>
      <c r="D2" s="22" t="s">
        <v>46</v>
      </c>
      <c r="E2" s="22" t="s">
        <v>47</v>
      </c>
      <c r="F2" s="22" t="s">
        <v>48</v>
      </c>
      <c r="G2" s="22" t="s">
        <v>49</v>
      </c>
      <c r="H2" s="22" t="s">
        <v>50</v>
      </c>
      <c r="I2" s="22" t="s">
        <v>51</v>
      </c>
      <c r="J2" s="22" t="s">
        <v>52</v>
      </c>
      <c r="K2" s="22" t="s">
        <v>53</v>
      </c>
      <c r="L2" s="22" t="s">
        <v>91</v>
      </c>
    </row>
    <row r="3" spans="1:12" ht="24.95" customHeight="1">
      <c r="A3" s="22">
        <v>1</v>
      </c>
      <c r="B3" s="23" t="s">
        <v>64</v>
      </c>
      <c r="C3" s="24">
        <v>29</v>
      </c>
      <c r="D3" s="22">
        <f>VLOOKUP(B3,Sheet2!F$2:N50,2,0)</f>
        <v>1389</v>
      </c>
      <c r="E3" s="22">
        <f>VLOOKUP(B3,Sheet2!F$2:N50,3,0)</f>
        <v>1055</v>
      </c>
      <c r="F3" s="22">
        <f>VLOOKUP(B3,Sheet2!F$2:N50,4,0)</f>
        <v>482</v>
      </c>
      <c r="G3" s="22">
        <f>VLOOKUP(B3,Sheet2!F$2:N50,5,0)</f>
        <v>0</v>
      </c>
      <c r="H3" s="22">
        <f>VLOOKUP(B3,Sheet2!F$2:N50,6,0)</f>
        <v>0</v>
      </c>
      <c r="I3" s="22">
        <f>VLOOKUP(B3,Sheet2!F$2:N50,7,0)</f>
        <v>0</v>
      </c>
      <c r="J3" s="22">
        <f>VLOOKUP(B3,Sheet2!F$2:N50,8,0)</f>
        <v>1444</v>
      </c>
      <c r="K3" s="22">
        <f>SUM(D3:J3)</f>
        <v>4370</v>
      </c>
      <c r="L3" s="26">
        <f t="shared" ref="L3:L30" si="0">K3/C3</f>
        <v>150.68965517241378</v>
      </c>
    </row>
    <row r="4" spans="1:12" ht="24.95" customHeight="1">
      <c r="A4" s="22">
        <v>2</v>
      </c>
      <c r="B4" s="23" t="s">
        <v>22</v>
      </c>
      <c r="C4" s="24">
        <v>22</v>
      </c>
      <c r="D4" s="22">
        <f>VLOOKUP(B4,Sheet2!F$2:N42,2,0)</f>
        <v>2344</v>
      </c>
      <c r="E4" s="22">
        <f>VLOOKUP(B4,Sheet2!F$2:N42,3,0)</f>
        <v>0</v>
      </c>
      <c r="F4" s="22">
        <f>VLOOKUP(B4,Sheet2!F$2:N42,4,0)</f>
        <v>69</v>
      </c>
      <c r="G4" s="22">
        <f>VLOOKUP(B4,Sheet2!F$2:N42,5,0)</f>
        <v>0</v>
      </c>
      <c r="H4" s="22">
        <f>VLOOKUP(B4,Sheet2!F$2:N42,6,0)</f>
        <v>0</v>
      </c>
      <c r="I4" s="22">
        <f>VLOOKUP(B4,Sheet2!F$2:N42,7,0)</f>
        <v>0</v>
      </c>
      <c r="J4" s="22">
        <f>VLOOKUP(B4,Sheet2!F$2:N42,8,0)</f>
        <v>1439</v>
      </c>
      <c r="K4" s="22">
        <f>SUM(D4:J4)</f>
        <v>3852</v>
      </c>
      <c r="L4" s="26">
        <f t="shared" si="0"/>
        <v>175.09090909090909</v>
      </c>
    </row>
    <row r="5" spans="1:12" ht="24.95" customHeight="1">
      <c r="A5" s="22">
        <v>3</v>
      </c>
      <c r="B5" s="23" t="s">
        <v>63</v>
      </c>
      <c r="C5" s="24">
        <v>17</v>
      </c>
      <c r="D5" s="22">
        <f>VLOOKUP(B5,Sheet2!F$2:N41,2,0)</f>
        <v>1520</v>
      </c>
      <c r="E5" s="22">
        <f>VLOOKUP(B5,Sheet2!F$2:N41,3,0)</f>
        <v>0</v>
      </c>
      <c r="F5" s="22">
        <f>VLOOKUP(B5,Sheet2!F$2:N41,4,0)</f>
        <v>0</v>
      </c>
      <c r="G5" s="22">
        <f>VLOOKUP(B5,Sheet2!F$2:N41,5,0)</f>
        <v>0</v>
      </c>
      <c r="H5" s="22">
        <f>VLOOKUP(B5,Sheet2!F$2:N41,6,0)</f>
        <v>0</v>
      </c>
      <c r="I5" s="22">
        <f>VLOOKUP(B5,Sheet2!F$2:N41,7,0)</f>
        <v>0</v>
      </c>
      <c r="J5" s="22">
        <f>VLOOKUP(B5,Sheet2!F$2:N41,8,0)</f>
        <v>651</v>
      </c>
      <c r="K5" s="22">
        <f>SUM(D5:J5)</f>
        <v>2171</v>
      </c>
      <c r="L5" s="26">
        <f t="shared" si="0"/>
        <v>127.70588235294117</v>
      </c>
    </row>
    <row r="6" spans="1:12" ht="24.95" customHeight="1">
      <c r="A6" s="22">
        <v>4</v>
      </c>
      <c r="B6" s="23" t="s">
        <v>28</v>
      </c>
      <c r="C6" s="24">
        <v>33</v>
      </c>
      <c r="D6" s="22">
        <f>VLOOKUP(B6,Sheet2!F$2:N47,2,0)</f>
        <v>185</v>
      </c>
      <c r="E6" s="22">
        <f>VLOOKUP(B6,Sheet2!F$2:N47,3,0)</f>
        <v>0</v>
      </c>
      <c r="F6" s="22">
        <f>VLOOKUP(B6,Sheet2!F$2:N47,4,0)</f>
        <v>0</v>
      </c>
      <c r="G6" s="22">
        <f>VLOOKUP(B6,Sheet2!F$2:N47,5,0)</f>
        <v>0</v>
      </c>
      <c r="H6" s="22">
        <f>VLOOKUP(B6,Sheet2!F$2:N47,6,0)</f>
        <v>0</v>
      </c>
      <c r="I6" s="22">
        <f>VLOOKUP(B6,Sheet2!F$2:N47,7,0)</f>
        <v>0</v>
      </c>
      <c r="J6" s="22">
        <f>VLOOKUP(B6,Sheet2!F$2:N47,8,0)</f>
        <v>1848</v>
      </c>
      <c r="K6" s="22">
        <f>SUM(D6:J6)</f>
        <v>2033</v>
      </c>
      <c r="L6" s="26">
        <f t="shared" si="0"/>
        <v>61.606060606060609</v>
      </c>
    </row>
    <row r="7" spans="1:12" ht="24.95" customHeight="1">
      <c r="A7" s="22">
        <v>5</v>
      </c>
      <c r="B7" s="23" t="s">
        <v>74</v>
      </c>
      <c r="C7" s="24">
        <v>32</v>
      </c>
      <c r="D7" s="22">
        <f>VLOOKUP(B7,Sheet2!F$2:N71,2,0)</f>
        <v>273</v>
      </c>
      <c r="E7" s="22">
        <f>VLOOKUP(B7,Sheet2!F$2:N71,3,0)</f>
        <v>1556</v>
      </c>
      <c r="F7" s="22">
        <f>VLOOKUP(B7,Sheet2!F$2:N71,4,0)</f>
        <v>0</v>
      </c>
      <c r="G7" s="22">
        <f>VLOOKUP(B7,Sheet2!F$2:N71,5,0)</f>
        <v>0</v>
      </c>
      <c r="H7" s="22">
        <f>VLOOKUP(B7,Sheet2!F$2:N71,6,0)</f>
        <v>0</v>
      </c>
      <c r="I7" s="22">
        <f>VLOOKUP(B7,Sheet2!F$2:N71,7,0)</f>
        <v>50</v>
      </c>
      <c r="J7" s="22">
        <f>VLOOKUP(B7,Sheet2!F$2:N71,8,0)</f>
        <v>0</v>
      </c>
      <c r="K7" s="22">
        <f>SUM(D7:J7)</f>
        <v>1879</v>
      </c>
      <c r="L7" s="26">
        <f t="shared" si="0"/>
        <v>58.71875</v>
      </c>
    </row>
    <row r="8" spans="1:12" ht="24.95" customHeight="1">
      <c r="A8" s="22">
        <v>6</v>
      </c>
      <c r="B8" s="23" t="s">
        <v>60</v>
      </c>
      <c r="C8" s="24">
        <v>19</v>
      </c>
      <c r="D8" s="22">
        <f>VLOOKUP(B8,Sheet2!F$2:N43,2,0)</f>
        <v>594</v>
      </c>
      <c r="E8" s="22">
        <f>VLOOKUP(B8,Sheet2!F$2:N43,3,0)</f>
        <v>46</v>
      </c>
      <c r="F8" s="22">
        <f>VLOOKUP(B8,Sheet2!F$2:N43,4,0)</f>
        <v>32</v>
      </c>
      <c r="G8" s="22">
        <f>VLOOKUP(B8,Sheet2!F$2:N43,5,0)</f>
        <v>0</v>
      </c>
      <c r="H8" s="22">
        <f>VLOOKUP(B8,Sheet2!F$2:N43,6,0)</f>
        <v>0</v>
      </c>
      <c r="I8" s="22">
        <f>VLOOKUP(B8,Sheet2!F$2:N43,7,0)</f>
        <v>0</v>
      </c>
      <c r="J8" s="22">
        <f>VLOOKUP(B8,Sheet2!F$2:N43,8,0)</f>
        <v>575</v>
      </c>
      <c r="K8" s="22">
        <f>SUM(D8:J8)</f>
        <v>1247</v>
      </c>
      <c r="L8" s="26">
        <f t="shared" si="0"/>
        <v>65.631578947368425</v>
      </c>
    </row>
    <row r="9" spans="1:12" ht="24.95" customHeight="1">
      <c r="A9" s="22">
        <v>7</v>
      </c>
      <c r="B9" s="23" t="s">
        <v>54</v>
      </c>
      <c r="C9" s="24">
        <v>35</v>
      </c>
      <c r="D9" s="22">
        <f>VLOOKUP(B9,Sheet2!F$2:N48,2,0)</f>
        <v>417</v>
      </c>
      <c r="E9" s="22">
        <f>VLOOKUP(B9,Sheet2!F$2:N48,3,0)</f>
        <v>22</v>
      </c>
      <c r="F9" s="22">
        <f>VLOOKUP(B9,Sheet2!F$2:N48,4,0)</f>
        <v>49</v>
      </c>
      <c r="G9" s="22">
        <f>VLOOKUP(B9,Sheet2!F$2:N48,5,0)</f>
        <v>0</v>
      </c>
      <c r="H9" s="22">
        <f>VLOOKUP(B9,Sheet2!F$2:N48,6,0)</f>
        <v>0</v>
      </c>
      <c r="I9" s="22">
        <f>VLOOKUP(B9,Sheet2!F$2:N48,7,0)</f>
        <v>604</v>
      </c>
      <c r="J9" s="22">
        <f>VLOOKUP(B9,Sheet2!F$2:N48,8,0)</f>
        <v>0</v>
      </c>
      <c r="K9" s="22">
        <f>SUM(D9:J9)</f>
        <v>1092</v>
      </c>
      <c r="L9" s="26">
        <f t="shared" si="0"/>
        <v>31.2</v>
      </c>
    </row>
    <row r="10" spans="1:12" ht="24.95" customHeight="1">
      <c r="A10" s="22">
        <v>8</v>
      </c>
      <c r="B10" s="23" t="s">
        <v>56</v>
      </c>
      <c r="C10" s="24">
        <v>24</v>
      </c>
      <c r="D10" s="22">
        <f>VLOOKUP(B10,Sheet2!F$2:N63,2,0)</f>
        <v>0</v>
      </c>
      <c r="E10" s="22">
        <f>VLOOKUP(B10,Sheet2!F$2:N63,3,0)</f>
        <v>0</v>
      </c>
      <c r="F10" s="22">
        <f>VLOOKUP(B10,Sheet2!F$2:N63,4,0)</f>
        <v>0</v>
      </c>
      <c r="G10" s="22">
        <f>VLOOKUP(B10,Sheet2!F$2:N63,5,0)</f>
        <v>734</v>
      </c>
      <c r="H10" s="22">
        <f>VLOOKUP(B10,Sheet2!F$2:N63,6,0)</f>
        <v>0</v>
      </c>
      <c r="I10" s="22">
        <f>VLOOKUP(B10,Sheet2!F$2:N63,7,0)</f>
        <v>0</v>
      </c>
      <c r="J10" s="22">
        <f>VLOOKUP(B10,Sheet2!F$2:N63,8,0)</f>
        <v>70</v>
      </c>
      <c r="K10" s="22">
        <f>SUM(D10:J10)</f>
        <v>804</v>
      </c>
      <c r="L10" s="26">
        <f t="shared" si="0"/>
        <v>33.5</v>
      </c>
    </row>
    <row r="11" spans="1:12" ht="24.95" customHeight="1">
      <c r="A11" s="22">
        <v>9</v>
      </c>
      <c r="B11" s="23" t="s">
        <v>66</v>
      </c>
      <c r="C11" s="24">
        <v>21</v>
      </c>
      <c r="D11" s="22">
        <f>VLOOKUP(B11,Sheet2!F$2:N52,2,0)</f>
        <v>0</v>
      </c>
      <c r="E11" s="22">
        <f>VLOOKUP(B11,Sheet2!F$2:N52,3,0)</f>
        <v>733</v>
      </c>
      <c r="F11" s="22">
        <f>VLOOKUP(B11,Sheet2!F$2:N52,4,0)</f>
        <v>0</v>
      </c>
      <c r="G11" s="22">
        <f>VLOOKUP(B11,Sheet2!F$2:N52,5,0)</f>
        <v>0</v>
      </c>
      <c r="H11" s="22">
        <f>VLOOKUP(B11,Sheet2!F$2:N52,6,0)</f>
        <v>0</v>
      </c>
      <c r="I11" s="22">
        <f>VLOOKUP(B11,Sheet2!F$2:N52,7,0)</f>
        <v>0</v>
      </c>
      <c r="J11" s="22">
        <f>VLOOKUP(B11,Sheet2!F$2:N52,8,0)</f>
        <v>0</v>
      </c>
      <c r="K11" s="22">
        <f>SUM(D11:J11)</f>
        <v>733</v>
      </c>
      <c r="L11" s="26">
        <f t="shared" si="0"/>
        <v>34.904761904761905</v>
      </c>
    </row>
    <row r="12" spans="1:12" ht="24.95" customHeight="1">
      <c r="A12" s="22">
        <v>10</v>
      </c>
      <c r="B12" s="23" t="s">
        <v>62</v>
      </c>
      <c r="C12" s="24">
        <v>28</v>
      </c>
      <c r="D12" s="22">
        <f>VLOOKUP(B12,Sheet2!F$2:N44,2,0)</f>
        <v>0</v>
      </c>
      <c r="E12" s="22">
        <f>VLOOKUP(B12,Sheet2!F$2:N44,3,0)</f>
        <v>508</v>
      </c>
      <c r="F12" s="22">
        <f>VLOOKUP(B12,Sheet2!F$2:N44,4,0)</f>
        <v>0</v>
      </c>
      <c r="G12" s="22">
        <f>VLOOKUP(B12,Sheet2!F$2:N44,5,0)</f>
        <v>0</v>
      </c>
      <c r="H12" s="22">
        <f>VLOOKUP(B12,Sheet2!F$2:N44,6,0)</f>
        <v>0</v>
      </c>
      <c r="I12" s="22">
        <f>VLOOKUP(B12,Sheet2!F$2:N44,7,0)</f>
        <v>0</v>
      </c>
      <c r="J12" s="22">
        <f>VLOOKUP(B12,Sheet2!F$2:N44,8,0)</f>
        <v>0</v>
      </c>
      <c r="K12" s="22">
        <f>SUM(D12:J12)</f>
        <v>508</v>
      </c>
      <c r="L12" s="26">
        <f t="shared" si="0"/>
        <v>18.142857142857142</v>
      </c>
    </row>
    <row r="13" spans="1:12" ht="24.95" customHeight="1">
      <c r="A13" s="22">
        <v>11</v>
      </c>
      <c r="B13" s="23" t="s">
        <v>43</v>
      </c>
      <c r="C13" s="24">
        <v>32</v>
      </c>
      <c r="D13" s="22">
        <f>VLOOKUP(B13,Sheet2!F$2:N49,2,0)</f>
        <v>0</v>
      </c>
      <c r="E13" s="22">
        <f>VLOOKUP(B13,Sheet2!F$2:N49,3,0)</f>
        <v>0</v>
      </c>
      <c r="F13" s="22">
        <f>VLOOKUP(B13,Sheet2!F$2:N49,4,0)</f>
        <v>0</v>
      </c>
      <c r="G13" s="22">
        <f>VLOOKUP(B13,Sheet2!F$2:N49,5,0)</f>
        <v>0</v>
      </c>
      <c r="H13" s="22">
        <f>VLOOKUP(B13,Sheet2!F$2:N49,6,0)</f>
        <v>0</v>
      </c>
      <c r="I13" s="22">
        <f>VLOOKUP(B13,Sheet2!F$2:N49,7,0)</f>
        <v>0</v>
      </c>
      <c r="J13" s="22">
        <f>VLOOKUP(B13,Sheet2!F$2:N49,8,0)</f>
        <v>432</v>
      </c>
      <c r="K13" s="22">
        <f>SUM(D13:J13)</f>
        <v>432</v>
      </c>
      <c r="L13" s="26">
        <f t="shared" si="0"/>
        <v>13.5</v>
      </c>
    </row>
    <row r="14" spans="1:12" ht="24.95" customHeight="1">
      <c r="A14" s="22">
        <v>12</v>
      </c>
      <c r="B14" s="23" t="s">
        <v>35</v>
      </c>
      <c r="C14" s="24">
        <v>25</v>
      </c>
      <c r="D14" s="22">
        <f>VLOOKUP(B14,Sheet2!F$2:N66,2,0)</f>
        <v>41</v>
      </c>
      <c r="E14" s="22">
        <f>VLOOKUP(B14,Sheet2!F$2:N66,3,0)</f>
        <v>0</v>
      </c>
      <c r="F14" s="22">
        <f>VLOOKUP(B14,Sheet2!F$2:N66,4,0)</f>
        <v>0</v>
      </c>
      <c r="G14" s="22">
        <f>VLOOKUP(B14,Sheet2!F$2:N66,5,0)</f>
        <v>0</v>
      </c>
      <c r="H14" s="22">
        <f>VLOOKUP(B14,Sheet2!F$2:N66,6,0)</f>
        <v>0</v>
      </c>
      <c r="I14" s="22">
        <f>VLOOKUP(B14,Sheet2!F$2:N66,7,0)</f>
        <v>0</v>
      </c>
      <c r="J14" s="22">
        <f>VLOOKUP(B14,Sheet2!F$2:N66,8,0)</f>
        <v>364</v>
      </c>
      <c r="K14" s="22">
        <f>SUM(D14:J14)</f>
        <v>405</v>
      </c>
      <c r="L14" s="26">
        <f t="shared" si="0"/>
        <v>16.2</v>
      </c>
    </row>
    <row r="15" spans="1:12" ht="24.95" customHeight="1">
      <c r="A15" s="22">
        <v>13</v>
      </c>
      <c r="B15" s="23" t="s">
        <v>77</v>
      </c>
      <c r="C15" s="24">
        <v>20</v>
      </c>
      <c r="D15" s="22">
        <f>VLOOKUP(B15,Sheet2!F$2:N46,2,0)</f>
        <v>245</v>
      </c>
      <c r="E15" s="22">
        <f>VLOOKUP(B15,Sheet2!F$2:N46,3,0)</f>
        <v>5</v>
      </c>
      <c r="F15" s="22">
        <f>VLOOKUP(B15,Sheet2!F$2:N46,4,0)</f>
        <v>0</v>
      </c>
      <c r="G15" s="22">
        <f>VLOOKUP(B15,Sheet2!F$2:N46,5,0)</f>
        <v>0</v>
      </c>
      <c r="H15" s="22">
        <f>VLOOKUP(B15,Sheet2!F$2:N46,6,0)</f>
        <v>0</v>
      </c>
      <c r="I15" s="22">
        <f>VLOOKUP(B15,Sheet2!F$2:N46,7,0)</f>
        <v>0</v>
      </c>
      <c r="J15" s="22">
        <f>VLOOKUP(B15,Sheet2!F$2:N46,8,0)</f>
        <v>97</v>
      </c>
      <c r="K15" s="22">
        <f>SUM(D15:J15)</f>
        <v>347</v>
      </c>
      <c r="L15" s="26">
        <f t="shared" si="0"/>
        <v>17.350000000000001</v>
      </c>
    </row>
    <row r="16" spans="1:12" ht="24.95" customHeight="1">
      <c r="A16" s="22">
        <v>14</v>
      </c>
      <c r="B16" s="23" t="s">
        <v>34</v>
      </c>
      <c r="C16" s="24">
        <v>31</v>
      </c>
      <c r="D16" s="22">
        <f>VLOOKUP(B16,Sheet2!F$2:N58,2,0)</f>
        <v>0</v>
      </c>
      <c r="E16" s="22">
        <f>VLOOKUP(B16,Sheet2!F$2:N58,3,0)</f>
        <v>0</v>
      </c>
      <c r="F16" s="22">
        <f>VLOOKUP(B16,Sheet2!F$2:N58,4,0)</f>
        <v>0</v>
      </c>
      <c r="G16" s="22">
        <f>VLOOKUP(B16,Sheet2!F$2:N58,5,0)</f>
        <v>0</v>
      </c>
      <c r="H16" s="22">
        <f>VLOOKUP(B16,Sheet2!F$2:N58,6,0)</f>
        <v>0</v>
      </c>
      <c r="I16" s="22">
        <f>VLOOKUP(B16,Sheet2!F$2:N58,7,0)</f>
        <v>0</v>
      </c>
      <c r="J16" s="22">
        <f>VLOOKUP(B16,Sheet2!F$2:N58,8,0)</f>
        <v>346</v>
      </c>
      <c r="K16" s="22">
        <f>SUM(D16:J16)</f>
        <v>346</v>
      </c>
      <c r="L16" s="26">
        <f t="shared" si="0"/>
        <v>11.161290322580646</v>
      </c>
    </row>
    <row r="17" spans="1:12" ht="24.95" customHeight="1">
      <c r="A17" s="22">
        <v>15</v>
      </c>
      <c r="B17" s="23" t="s">
        <v>21</v>
      </c>
      <c r="C17" s="24">
        <v>20</v>
      </c>
      <c r="D17" s="22">
        <f>VLOOKUP(B17,Sheet2!F$2:N67,2,0)</f>
        <v>0</v>
      </c>
      <c r="E17" s="22">
        <f>VLOOKUP(B17,Sheet2!F$2:N67,3,0)</f>
        <v>0</v>
      </c>
      <c r="F17" s="22">
        <f>VLOOKUP(B17,Sheet2!F$2:N67,4,0)</f>
        <v>0</v>
      </c>
      <c r="G17" s="22">
        <f>VLOOKUP(B17,Sheet2!F$2:N67,5,0)</f>
        <v>0</v>
      </c>
      <c r="H17" s="22">
        <f>VLOOKUP(B17,Sheet2!F$2:N67,6,0)</f>
        <v>0</v>
      </c>
      <c r="I17" s="22">
        <f>VLOOKUP(B17,Sheet2!F$2:N67,7,0)</f>
        <v>0</v>
      </c>
      <c r="J17" s="22">
        <f>VLOOKUP(B17,Sheet2!F$2:N67,8,0)</f>
        <v>295</v>
      </c>
      <c r="K17" s="22">
        <f>SUM(D17:J17)</f>
        <v>295</v>
      </c>
      <c r="L17" s="26">
        <f t="shared" si="0"/>
        <v>14.75</v>
      </c>
    </row>
    <row r="18" spans="1:12" ht="24.95" customHeight="1">
      <c r="A18" s="22">
        <v>16</v>
      </c>
      <c r="B18" s="23" t="s">
        <v>68</v>
      </c>
      <c r="C18" s="24">
        <v>34</v>
      </c>
      <c r="D18" s="22">
        <f>VLOOKUP(B18,Sheet2!F$2:N53,2,0)</f>
        <v>92</v>
      </c>
      <c r="E18" s="22">
        <f>VLOOKUP(B18,Sheet2!F$2:N53,3,0)</f>
        <v>0</v>
      </c>
      <c r="F18" s="22">
        <f>VLOOKUP(B18,Sheet2!F$2:N53,4,0)</f>
        <v>0</v>
      </c>
      <c r="G18" s="22">
        <f>VLOOKUP(B18,Sheet2!F$2:N53,5,0)</f>
        <v>0</v>
      </c>
      <c r="H18" s="22">
        <f>VLOOKUP(B18,Sheet2!F$2:N53,6,0)</f>
        <v>0</v>
      </c>
      <c r="I18" s="22">
        <f>VLOOKUP(B18,Sheet2!F$2:N53,7,0)</f>
        <v>0</v>
      </c>
      <c r="J18" s="22">
        <f>VLOOKUP(B18,Sheet2!F$2:N53,8,0)</f>
        <v>201</v>
      </c>
      <c r="K18" s="22">
        <f>SUM(D18:J18)</f>
        <v>293</v>
      </c>
      <c r="L18" s="26">
        <f t="shared" si="0"/>
        <v>8.617647058823529</v>
      </c>
    </row>
    <row r="19" spans="1:12" ht="24.95" customHeight="1">
      <c r="A19" s="22">
        <v>17</v>
      </c>
      <c r="B19" s="23" t="s">
        <v>67</v>
      </c>
      <c r="C19" s="24">
        <v>26</v>
      </c>
      <c r="D19" s="22">
        <f>VLOOKUP(B19,Sheet2!F$2:N40,2,0)</f>
        <v>0</v>
      </c>
      <c r="E19" s="22">
        <f>VLOOKUP(B19,Sheet2!F$2:N40,3,0)</f>
        <v>0</v>
      </c>
      <c r="F19" s="22">
        <f>VLOOKUP(B19,Sheet2!F$2:N40,4,0)</f>
        <v>0</v>
      </c>
      <c r="G19" s="22">
        <f>VLOOKUP(B19,Sheet2!F$2:N40,5,0)</f>
        <v>0</v>
      </c>
      <c r="H19" s="22">
        <f>VLOOKUP(B19,Sheet2!F$2:N40,6,0)</f>
        <v>0</v>
      </c>
      <c r="I19" s="22">
        <f>VLOOKUP(B19,Sheet2!F$2:N40,7,0)</f>
        <v>0</v>
      </c>
      <c r="J19" s="22">
        <f>VLOOKUP(B19,Sheet2!F$2:N40,8,0)</f>
        <v>286</v>
      </c>
      <c r="K19" s="22">
        <f>SUM(D19:J19)</f>
        <v>286</v>
      </c>
      <c r="L19" s="26">
        <f t="shared" si="0"/>
        <v>11</v>
      </c>
    </row>
    <row r="20" spans="1:12" ht="24.95" customHeight="1">
      <c r="A20" s="22">
        <v>18</v>
      </c>
      <c r="B20" s="23" t="s">
        <v>37</v>
      </c>
      <c r="C20" s="24">
        <v>18</v>
      </c>
      <c r="D20" s="22">
        <f>VLOOKUP(B20,Sheet2!F$2:N59,2,0)</f>
        <v>0</v>
      </c>
      <c r="E20" s="22">
        <f>VLOOKUP(B20,Sheet2!F$2:N59,3,0)</f>
        <v>263</v>
      </c>
      <c r="F20" s="22">
        <f>VLOOKUP(B20,Sheet2!F$2:N59,4,0)</f>
        <v>0</v>
      </c>
      <c r="G20" s="22">
        <f>VLOOKUP(B20,Sheet2!F$2:N59,5,0)</f>
        <v>0</v>
      </c>
      <c r="H20" s="22">
        <f>VLOOKUP(B20,Sheet2!F$2:N59,6,0)</f>
        <v>0</v>
      </c>
      <c r="I20" s="22">
        <f>VLOOKUP(B20,Sheet2!F$2:N59,7,0)</f>
        <v>0</v>
      </c>
      <c r="J20" s="22">
        <f>VLOOKUP(B20,Sheet2!F$2:N59,8,0)</f>
        <v>0</v>
      </c>
      <c r="K20" s="22">
        <f>SUM(D20:J20)</f>
        <v>263</v>
      </c>
      <c r="L20" s="26">
        <f t="shared" si="0"/>
        <v>14.611111111111111</v>
      </c>
    </row>
    <row r="21" spans="1:12" ht="24.95" customHeight="1">
      <c r="A21" s="22">
        <v>19</v>
      </c>
      <c r="B21" s="23" t="s">
        <v>79</v>
      </c>
      <c r="C21" s="24"/>
      <c r="D21" s="22">
        <f>VLOOKUP(B21,Sheet2!F$2:N71,2,0)</f>
        <v>0</v>
      </c>
      <c r="E21" s="22">
        <f>VLOOKUP(B21,Sheet2!F$2:N71,3,0)</f>
        <v>0</v>
      </c>
      <c r="F21" s="22">
        <f>VLOOKUP(B21,Sheet2!F$2:N71,4,0)</f>
        <v>0</v>
      </c>
      <c r="G21" s="22">
        <f>VLOOKUP(B21,Sheet2!F$2:N71,5,0)</f>
        <v>0</v>
      </c>
      <c r="H21" s="22">
        <f>VLOOKUP(B21,Sheet2!F$2:N71,6,0)</f>
        <v>0</v>
      </c>
      <c r="I21" s="22">
        <f>VLOOKUP(B21,Sheet2!F$2:N71,7,0)</f>
        <v>0</v>
      </c>
      <c r="J21" s="22">
        <f>VLOOKUP(B21,Sheet2!F$2:N71,8,0)</f>
        <v>235</v>
      </c>
      <c r="K21" s="22">
        <f>SUM(D21:J21)</f>
        <v>235</v>
      </c>
      <c r="L21" s="26" t="e">
        <f t="shared" si="0"/>
        <v>#DIV/0!</v>
      </c>
    </row>
    <row r="22" spans="1:12" ht="24.95" customHeight="1">
      <c r="A22" s="22">
        <v>20</v>
      </c>
      <c r="B22" s="23" t="s">
        <v>38</v>
      </c>
      <c r="C22" s="24">
        <v>13</v>
      </c>
      <c r="D22" s="22">
        <f>VLOOKUP(B22,Sheet2!F$2:N65,2,0)</f>
        <v>133</v>
      </c>
      <c r="E22" s="22">
        <f>VLOOKUP(B22,Sheet2!F$2:N65,3,0)</f>
        <v>0</v>
      </c>
      <c r="F22" s="22">
        <f>VLOOKUP(B22,Sheet2!F$2:N65,4,0)</f>
        <v>0</v>
      </c>
      <c r="G22" s="22">
        <f>VLOOKUP(B22,Sheet2!F$2:N65,5,0)</f>
        <v>0</v>
      </c>
      <c r="H22" s="22">
        <f>VLOOKUP(B22,Sheet2!F$2:N65,6,0)</f>
        <v>0</v>
      </c>
      <c r="I22" s="22">
        <f>VLOOKUP(B22,Sheet2!F$2:N65,7,0)</f>
        <v>0</v>
      </c>
      <c r="J22" s="22">
        <f>VLOOKUP(B22,Sheet2!F$2:N65,8,0)</f>
        <v>43</v>
      </c>
      <c r="K22" s="22">
        <f>SUM(D22:J22)</f>
        <v>176</v>
      </c>
      <c r="L22" s="26">
        <f t="shared" si="0"/>
        <v>13.538461538461538</v>
      </c>
    </row>
    <row r="23" spans="1:12" ht="24.95" customHeight="1">
      <c r="A23" s="22">
        <v>21</v>
      </c>
      <c r="B23" s="23" t="s">
        <v>73</v>
      </c>
      <c r="C23" s="24">
        <v>0</v>
      </c>
      <c r="D23" s="22">
        <f>VLOOKUP(B23,Sheet2!F$2:N64,2,0)</f>
        <v>0</v>
      </c>
      <c r="E23" s="22">
        <f>VLOOKUP(B23,Sheet2!F$2:N64,3,0)</f>
        <v>131</v>
      </c>
      <c r="F23" s="22">
        <f>VLOOKUP(B23,Sheet2!F$2:N64,4,0)</f>
        <v>0</v>
      </c>
      <c r="G23" s="22">
        <f>VLOOKUP(B23,Sheet2!F$2:N64,5,0)</f>
        <v>0</v>
      </c>
      <c r="H23" s="22">
        <f>VLOOKUP(B23,Sheet2!F$2:N64,6,0)</f>
        <v>0</v>
      </c>
      <c r="I23" s="22">
        <f>VLOOKUP(B23,Sheet2!F$2:N64,7,0)</f>
        <v>0</v>
      </c>
      <c r="J23" s="22">
        <f>VLOOKUP(B23,Sheet2!F$2:N64,8,0)</f>
        <v>40</v>
      </c>
      <c r="K23" s="22">
        <f>SUM(D23:J23)</f>
        <v>171</v>
      </c>
      <c r="L23" s="26" t="e">
        <f t="shared" si="0"/>
        <v>#DIV/0!</v>
      </c>
    </row>
    <row r="24" spans="1:12" ht="24.95" customHeight="1">
      <c r="A24" s="22">
        <v>22</v>
      </c>
      <c r="B24" s="23" t="s">
        <v>40</v>
      </c>
      <c r="C24" s="24">
        <v>20</v>
      </c>
      <c r="D24" s="22">
        <f>VLOOKUP(B24,Sheet2!F$2:N69,2,0)</f>
        <v>171</v>
      </c>
      <c r="E24" s="22">
        <f>VLOOKUP(B24,Sheet2!F$2:N69,3,0)</f>
        <v>0</v>
      </c>
      <c r="F24" s="22">
        <f>VLOOKUP(B24,Sheet2!F$2:N69,4,0)</f>
        <v>0</v>
      </c>
      <c r="G24" s="22">
        <f>VLOOKUP(B24,Sheet2!F$2:N69,5,0)</f>
        <v>0</v>
      </c>
      <c r="H24" s="22">
        <f>VLOOKUP(B24,Sheet2!F$2:N69,6,0)</f>
        <v>0</v>
      </c>
      <c r="I24" s="22">
        <f>VLOOKUP(B24,Sheet2!F$2:N69,7,0)</f>
        <v>0</v>
      </c>
      <c r="J24" s="22">
        <f>VLOOKUP(B24,Sheet2!F$2:N69,8,0)</f>
        <v>0</v>
      </c>
      <c r="K24" s="22">
        <f>SUM(D24:J24)</f>
        <v>171</v>
      </c>
      <c r="L24" s="26">
        <f t="shared" si="0"/>
        <v>8.5500000000000007</v>
      </c>
    </row>
    <row r="25" spans="1:12" ht="24.95" customHeight="1">
      <c r="A25" s="22">
        <v>23</v>
      </c>
      <c r="B25" s="23" t="s">
        <v>42</v>
      </c>
      <c r="C25" s="24">
        <v>17</v>
      </c>
      <c r="D25" s="22">
        <f>VLOOKUP(B25,Sheet2!F$2:N57,2,0)</f>
        <v>0</v>
      </c>
      <c r="E25" s="22">
        <f>VLOOKUP(B25,Sheet2!F$2:N57,3,0)</f>
        <v>5</v>
      </c>
      <c r="F25" s="22">
        <f>VLOOKUP(B25,Sheet2!F$2:N57,4,0)</f>
        <v>0</v>
      </c>
      <c r="G25" s="22">
        <f>VLOOKUP(B25,Sheet2!F$2:N57,5,0)</f>
        <v>0</v>
      </c>
      <c r="H25" s="22">
        <f>VLOOKUP(B25,Sheet2!F$2:N57,6,0)</f>
        <v>0</v>
      </c>
      <c r="I25" s="22">
        <f>VLOOKUP(B25,Sheet2!F$2:N57,7,0)</f>
        <v>0</v>
      </c>
      <c r="J25" s="22">
        <f>VLOOKUP(B25,Sheet2!F$2:N57,8,0)</f>
        <v>159</v>
      </c>
      <c r="K25" s="22">
        <f>SUM(D25:J25)</f>
        <v>164</v>
      </c>
      <c r="L25" s="26">
        <f t="shared" si="0"/>
        <v>9.6470588235294112</v>
      </c>
    </row>
    <row r="26" spans="1:12" ht="24.95" customHeight="1">
      <c r="A26" s="22">
        <v>24</v>
      </c>
      <c r="B26" s="23" t="s">
        <v>59</v>
      </c>
      <c r="C26" s="24">
        <v>13</v>
      </c>
      <c r="D26" s="22">
        <f>VLOOKUP(B26,Sheet2!F$2:N68,2,0)</f>
        <v>106</v>
      </c>
      <c r="E26" s="22">
        <f>VLOOKUP(B26,Sheet2!F$2:N68,3,0)</f>
        <v>20</v>
      </c>
      <c r="F26" s="22">
        <f>VLOOKUP(B26,Sheet2!F$2:N68,4,0)</f>
        <v>0</v>
      </c>
      <c r="G26" s="22">
        <f>VLOOKUP(B26,Sheet2!F$2:N68,5,0)</f>
        <v>0</v>
      </c>
      <c r="H26" s="22">
        <f>VLOOKUP(B26,Sheet2!F$2:N68,6,0)</f>
        <v>0</v>
      </c>
      <c r="I26" s="22">
        <f>VLOOKUP(B26,Sheet2!F$2:N68,7,0)</f>
        <v>0</v>
      </c>
      <c r="J26" s="22">
        <f>VLOOKUP(B26,Sheet2!F$2:N68,8,0)</f>
        <v>0</v>
      </c>
      <c r="K26" s="22">
        <f>SUM(D26:J26)</f>
        <v>126</v>
      </c>
      <c r="L26" s="26">
        <f t="shared" si="0"/>
        <v>9.6923076923076916</v>
      </c>
    </row>
    <row r="27" spans="1:12" ht="24.95" customHeight="1">
      <c r="A27" s="22">
        <v>25</v>
      </c>
      <c r="B27" s="23" t="s">
        <v>70</v>
      </c>
      <c r="C27" s="24">
        <v>30</v>
      </c>
      <c r="D27" s="22">
        <f>VLOOKUP(B27,Sheet2!F$2:N55,2,0)</f>
        <v>0</v>
      </c>
      <c r="E27" s="22">
        <f>VLOOKUP(B27,Sheet2!F$2:N55,3,0)</f>
        <v>0</v>
      </c>
      <c r="F27" s="22">
        <f>VLOOKUP(B27,Sheet2!F$2:N55,4,0)</f>
        <v>0</v>
      </c>
      <c r="G27" s="22">
        <f>VLOOKUP(B27,Sheet2!F$2:N55,5,0)</f>
        <v>0</v>
      </c>
      <c r="H27" s="22">
        <f>VLOOKUP(B27,Sheet2!F$2:N55,6,0)</f>
        <v>0</v>
      </c>
      <c r="I27" s="22">
        <f>VLOOKUP(B27,Sheet2!F$2:N55,7,0)</f>
        <v>0</v>
      </c>
      <c r="J27" s="22">
        <f>VLOOKUP(B27,Sheet2!F$2:N55,8,0)</f>
        <v>120</v>
      </c>
      <c r="K27" s="22">
        <f>SUM(D27:J27)</f>
        <v>120</v>
      </c>
      <c r="L27" s="26">
        <f t="shared" si="0"/>
        <v>4</v>
      </c>
    </row>
    <row r="28" spans="1:12" ht="24.95" customHeight="1">
      <c r="A28" s="22">
        <v>26</v>
      </c>
      <c r="B28" s="23" t="s">
        <v>76</v>
      </c>
      <c r="C28" s="24">
        <v>27</v>
      </c>
      <c r="D28" s="22">
        <f>VLOOKUP(B28,Sheet2!F$2:N73,2,0)</f>
        <v>17</v>
      </c>
      <c r="E28" s="22">
        <f>VLOOKUP(B28,Sheet2!F$2:N73,3,0)</f>
        <v>60</v>
      </c>
      <c r="F28" s="22">
        <f>VLOOKUP(B28,Sheet2!F$2:N73,4,0)</f>
        <v>0</v>
      </c>
      <c r="G28" s="22">
        <f>VLOOKUP(B28,Sheet2!F$2:N73,5,0)</f>
        <v>0</v>
      </c>
      <c r="H28" s="22">
        <f>VLOOKUP(B28,Sheet2!F$2:N73,6,0)</f>
        <v>0</v>
      </c>
      <c r="I28" s="22">
        <f>VLOOKUP(B28,Sheet2!F$2:N73,7,0)</f>
        <v>0</v>
      </c>
      <c r="J28" s="22">
        <f>VLOOKUP(B28,Sheet2!F$2:N73,8,0)</f>
        <v>37</v>
      </c>
      <c r="K28" s="22">
        <f>SUM(D28:J28)</f>
        <v>114</v>
      </c>
      <c r="L28" s="26">
        <f t="shared" si="0"/>
        <v>4.2222222222222223</v>
      </c>
    </row>
    <row r="29" spans="1:12" ht="24.95" customHeight="1">
      <c r="A29" s="22">
        <v>27</v>
      </c>
      <c r="B29" s="23" t="s">
        <v>69</v>
      </c>
      <c r="C29" s="24">
        <v>3</v>
      </c>
      <c r="D29" s="22">
        <f>VLOOKUP(B29,Sheet2!F$2:N54,2,0)</f>
        <v>0</v>
      </c>
      <c r="E29" s="22">
        <f>VLOOKUP(B29,Sheet2!F$2:N54,3,0)</f>
        <v>0</v>
      </c>
      <c r="F29" s="22">
        <f>VLOOKUP(B29,Sheet2!F$2:N54,4,0)</f>
        <v>0</v>
      </c>
      <c r="G29" s="22">
        <f>VLOOKUP(B29,Sheet2!F$2:N54,5,0)</f>
        <v>0</v>
      </c>
      <c r="H29" s="22">
        <f>VLOOKUP(B29,Sheet2!F$2:N54,6,0)</f>
        <v>0</v>
      </c>
      <c r="I29" s="22">
        <f>VLOOKUP(B29,Sheet2!F$2:N54,7,0)</f>
        <v>7</v>
      </c>
      <c r="J29" s="22">
        <f>VLOOKUP(B29,Sheet2!F$2:N54,8,0)</f>
        <v>102</v>
      </c>
      <c r="K29" s="22">
        <f>SUM(D29:J29)</f>
        <v>109</v>
      </c>
      <c r="L29" s="26">
        <f t="shared" si="0"/>
        <v>36.333333333333336</v>
      </c>
    </row>
    <row r="30" spans="1:12" ht="24.95" customHeight="1">
      <c r="A30" s="22">
        <v>28</v>
      </c>
      <c r="B30" s="23" t="s">
        <v>55</v>
      </c>
      <c r="C30" s="24">
        <v>17</v>
      </c>
      <c r="D30" s="22">
        <f>VLOOKUP(B30,Sheet2!F$2:N62,2,0)</f>
        <v>0</v>
      </c>
      <c r="E30" s="22">
        <f>VLOOKUP(B30,Sheet2!F$2:N62,3,0)</f>
        <v>0</v>
      </c>
      <c r="F30" s="22">
        <f>VLOOKUP(B30,Sheet2!F$2:N62,4,0)</f>
        <v>0</v>
      </c>
      <c r="G30" s="22">
        <f>VLOOKUP(B30,Sheet2!F$2:N62,5,0)</f>
        <v>0</v>
      </c>
      <c r="H30" s="22">
        <f>VLOOKUP(B30,Sheet2!F$2:N62,6,0)</f>
        <v>0</v>
      </c>
      <c r="I30" s="22">
        <f>VLOOKUP(B30,Sheet2!F$2:N62,7,0)</f>
        <v>0</v>
      </c>
      <c r="J30" s="22">
        <f>VLOOKUP(B30,Sheet2!F$2:N62,8,0)</f>
        <v>104</v>
      </c>
      <c r="K30" s="22">
        <f>SUM(D30:J30)</f>
        <v>104</v>
      </c>
      <c r="L30" s="26">
        <f t="shared" si="0"/>
        <v>6.117647058823529</v>
      </c>
    </row>
    <row r="31" spans="1:12" ht="24.95" customHeight="1">
      <c r="A31" s="22">
        <v>29</v>
      </c>
      <c r="B31" s="23" t="s">
        <v>29</v>
      </c>
      <c r="C31" s="24">
        <v>6</v>
      </c>
      <c r="D31" s="22">
        <f>VLOOKUP(B31,Sheet2!F$2:N61,2,0)</f>
        <v>0</v>
      </c>
      <c r="E31" s="22">
        <f>VLOOKUP(B31,Sheet2!F$2:N61,3,0)</f>
        <v>0</v>
      </c>
      <c r="F31" s="22">
        <f>VLOOKUP(B31,Sheet2!F$2:N61,4,0)</f>
        <v>0</v>
      </c>
      <c r="G31" s="22">
        <f>VLOOKUP(B31,Sheet2!F$2:N61,5,0)</f>
        <v>0</v>
      </c>
      <c r="H31" s="22">
        <f>VLOOKUP(B31,Sheet2!F$2:N61,6,0)</f>
        <v>0</v>
      </c>
      <c r="I31" s="22">
        <f>VLOOKUP(B31,Sheet2!F$2:N61,7,0)</f>
        <v>0</v>
      </c>
      <c r="J31" s="22">
        <f>VLOOKUP(B31,Sheet2!F$2:N61,8,0)</f>
        <v>75</v>
      </c>
      <c r="K31" s="22">
        <f>SUM(D31:J31)</f>
        <v>75</v>
      </c>
      <c r="L31" s="26">
        <v>0</v>
      </c>
    </row>
    <row r="32" spans="1:12" ht="24.95" customHeight="1">
      <c r="A32" s="22">
        <v>30</v>
      </c>
      <c r="B32" s="23" t="s">
        <v>71</v>
      </c>
      <c r="C32" s="24">
        <v>31</v>
      </c>
      <c r="D32" s="22">
        <f>VLOOKUP(B32,Sheet2!F$2:N45,2,0)</f>
        <v>0</v>
      </c>
      <c r="E32" s="22">
        <f>VLOOKUP(B32,Sheet2!F$2:N45,3,0)</f>
        <v>0</v>
      </c>
      <c r="F32" s="22">
        <f>VLOOKUP(B32,Sheet2!F$2:N45,4,0)</f>
        <v>0</v>
      </c>
      <c r="G32" s="22">
        <f>VLOOKUP(B32,Sheet2!F$2:N45,5,0)</f>
        <v>0</v>
      </c>
      <c r="H32" s="22">
        <f>VLOOKUP(B32,Sheet2!F$2:N45,6,0)</f>
        <v>0</v>
      </c>
      <c r="I32" s="22">
        <f>VLOOKUP(B32,Sheet2!F$2:N45,7,0)</f>
        <v>0</v>
      </c>
      <c r="J32" s="22">
        <f>VLOOKUP(B32,Sheet2!F$2:N45,8,0)</f>
        <v>69</v>
      </c>
      <c r="K32" s="22">
        <f>SUM(D32:J32)</f>
        <v>69</v>
      </c>
      <c r="L32" s="26">
        <f>K32/C32</f>
        <v>2.225806451612903</v>
      </c>
    </row>
    <row r="33" spans="1:12" ht="24.95" customHeight="1">
      <c r="A33" s="22">
        <v>31</v>
      </c>
      <c r="B33" s="23" t="s">
        <v>41</v>
      </c>
      <c r="C33" s="24">
        <v>21</v>
      </c>
      <c r="D33" s="22">
        <f>VLOOKUP(B33,Sheet2!F$2:N70,2,0)</f>
        <v>8</v>
      </c>
      <c r="E33" s="22">
        <f>VLOOKUP(B33,Sheet2!F$2:N70,3,0)</f>
        <v>0</v>
      </c>
      <c r="F33" s="22">
        <f>VLOOKUP(B33,Sheet2!F$2:N70,4,0)</f>
        <v>0</v>
      </c>
      <c r="G33" s="22">
        <f>VLOOKUP(B33,Sheet2!F$2:N70,5,0)</f>
        <v>0</v>
      </c>
      <c r="H33" s="22">
        <f>VLOOKUP(B33,Sheet2!F$2:N70,6,0)</f>
        <v>0</v>
      </c>
      <c r="I33" s="22">
        <f>VLOOKUP(B33,Sheet2!F$2:N70,7,0)</f>
        <v>0</v>
      </c>
      <c r="J33" s="22">
        <f>VLOOKUP(B33,Sheet2!F$2:N70,8,0)</f>
        <v>60</v>
      </c>
      <c r="K33" s="22">
        <f>SUM(D33:J33)</f>
        <v>68</v>
      </c>
      <c r="L33" s="26">
        <f>K33/C33</f>
        <v>3.2380952380952381</v>
      </c>
    </row>
    <row r="34" spans="1:12" ht="24.95" customHeight="1">
      <c r="A34" s="22">
        <v>32</v>
      </c>
      <c r="B34" s="23" t="s">
        <v>78</v>
      </c>
      <c r="C34" s="24"/>
      <c r="D34" s="22">
        <f>VLOOKUP(B34,Sheet2!F$2:N70,2,0)</f>
        <v>0</v>
      </c>
      <c r="E34" s="22">
        <f>VLOOKUP(B34,Sheet2!F$2:N70,3,0)</f>
        <v>0</v>
      </c>
      <c r="F34" s="22">
        <f>VLOOKUP(B34,Sheet2!F$2:N70,4,0)</f>
        <v>0</v>
      </c>
      <c r="G34" s="22">
        <f>VLOOKUP(B34,Sheet2!F$2:N70,5,0)</f>
        <v>0</v>
      </c>
      <c r="H34" s="22">
        <f>VLOOKUP(B34,Sheet2!F$2:N70,6,0)</f>
        <v>0</v>
      </c>
      <c r="I34" s="22">
        <f>VLOOKUP(B34,Sheet2!F$2:N70,7,0)</f>
        <v>0</v>
      </c>
      <c r="J34" s="22">
        <f>VLOOKUP(B34,Sheet2!F$2:N70,8,0)</f>
        <v>66</v>
      </c>
      <c r="K34" s="22">
        <f>SUM(D34:J34)</f>
        <v>66</v>
      </c>
      <c r="L34" s="26" t="e">
        <f>K34/C34</f>
        <v>#DIV/0!</v>
      </c>
    </row>
    <row r="35" spans="1:12" ht="24.95" customHeight="1">
      <c r="A35" s="22">
        <v>33</v>
      </c>
      <c r="B35" s="23" t="s">
        <v>65</v>
      </c>
      <c r="C35" s="24">
        <v>13</v>
      </c>
      <c r="D35" s="22">
        <f>VLOOKUP(B35,Sheet2!F$2:N51,2,0)</f>
        <v>66</v>
      </c>
      <c r="E35" s="22">
        <f>VLOOKUP(B35,Sheet2!F$2:N51,3,0)</f>
        <v>0</v>
      </c>
      <c r="F35" s="22">
        <f>VLOOKUP(B35,Sheet2!F$2:N51,4,0)</f>
        <v>0</v>
      </c>
      <c r="G35" s="22">
        <f>VLOOKUP(B35,Sheet2!F$2:N51,5,0)</f>
        <v>0</v>
      </c>
      <c r="H35" s="22">
        <f>VLOOKUP(B35,Sheet2!F$2:N51,6,0)</f>
        <v>0</v>
      </c>
      <c r="I35" s="22">
        <f>VLOOKUP(B35,Sheet2!F$2:N51,7,0)</f>
        <v>0</v>
      </c>
      <c r="J35" s="22">
        <f>VLOOKUP(B35,Sheet2!F$2:N51,8,0)</f>
        <v>0</v>
      </c>
      <c r="K35" s="22">
        <f>SUM(D35:J35)</f>
        <v>66</v>
      </c>
      <c r="L35" s="26">
        <f>K35/C35</f>
        <v>5.0769230769230766</v>
      </c>
    </row>
    <row r="36" spans="1:12" ht="24.95" customHeight="1">
      <c r="A36" s="22">
        <v>34</v>
      </c>
      <c r="B36" s="23" t="s">
        <v>58</v>
      </c>
      <c r="C36" s="24">
        <v>22</v>
      </c>
      <c r="D36" s="22">
        <f>VLOOKUP(B36,Sheet2!F$2:N56,2,0)</f>
        <v>61</v>
      </c>
      <c r="E36" s="22">
        <f>VLOOKUP(B36,Sheet2!F$2:N56,3,0)</f>
        <v>0</v>
      </c>
      <c r="F36" s="22">
        <f>VLOOKUP(B36,Sheet2!F$2:N56,4,0)</f>
        <v>0</v>
      </c>
      <c r="G36" s="22">
        <f>VLOOKUP(B36,Sheet2!F$2:N56,5,0)</f>
        <v>0</v>
      </c>
      <c r="H36" s="22">
        <f>VLOOKUP(B36,Sheet2!F$2:N56,6,0)</f>
        <v>0</v>
      </c>
      <c r="I36" s="22">
        <f>VLOOKUP(B36,Sheet2!F$2:N56,7,0)</f>
        <v>0</v>
      </c>
      <c r="J36" s="22">
        <f>VLOOKUP(B36,Sheet2!F$2:N56,8,0)</f>
        <v>0</v>
      </c>
      <c r="K36" s="22">
        <f>SUM(D36:J36)</f>
        <v>61</v>
      </c>
      <c r="L36" s="26">
        <f>K36/C36</f>
        <v>2.7727272727272729</v>
      </c>
    </row>
    <row r="37" spans="1:12" ht="24.95" customHeight="1">
      <c r="A37" s="22">
        <v>35</v>
      </c>
      <c r="B37" s="23" t="s">
        <v>75</v>
      </c>
      <c r="C37" s="24">
        <v>20</v>
      </c>
      <c r="D37" s="22">
        <f>VLOOKUP(B37,Sheet2!F$2:N72,2,0)</f>
        <v>0</v>
      </c>
      <c r="E37" s="22">
        <f>VLOOKUP(B37,Sheet2!F$2:N72,3,0)</f>
        <v>0</v>
      </c>
      <c r="F37" s="22">
        <f>VLOOKUP(B37,Sheet2!F$2:N72,4,0)</f>
        <v>0</v>
      </c>
      <c r="G37" s="22">
        <f>VLOOKUP(B37,Sheet2!F$2:N72,5,0)</f>
        <v>0</v>
      </c>
      <c r="H37" s="22">
        <f>VLOOKUP(B37,Sheet2!F$2:N72,6,0)</f>
        <v>0</v>
      </c>
      <c r="I37" s="22">
        <f>VLOOKUP(B37,Sheet2!F$2:N72,7,0)</f>
        <v>0</v>
      </c>
      <c r="J37" s="22">
        <f>VLOOKUP(B37,Sheet2!F$2:N72,8,0)</f>
        <v>60</v>
      </c>
      <c r="K37" s="22">
        <f>SUM(D37:J37)</f>
        <v>60</v>
      </c>
      <c r="L37" s="26"/>
    </row>
    <row r="38" spans="1:12" ht="24.95" customHeight="1">
      <c r="A38" s="22">
        <v>36</v>
      </c>
      <c r="B38" s="23" t="s">
        <v>81</v>
      </c>
      <c r="C38" s="24"/>
      <c r="D38" s="22">
        <f>VLOOKUP(B38,Sheet2!F$2:N73,2,0)</f>
        <v>0</v>
      </c>
      <c r="E38" s="22">
        <f>VLOOKUP(B38,Sheet2!F$2:N73,3,0)</f>
        <v>0</v>
      </c>
      <c r="F38" s="22">
        <f>VLOOKUP(B38,Sheet2!F$2:N73,4,0)</f>
        <v>0</v>
      </c>
      <c r="G38" s="22">
        <f>VLOOKUP(B38,Sheet2!F$2:N73,5,0)</f>
        <v>0</v>
      </c>
      <c r="H38" s="22">
        <f>VLOOKUP(B38,Sheet2!F$2:N73,6,0)</f>
        <v>0</v>
      </c>
      <c r="I38" s="22">
        <f>VLOOKUP(B38,Sheet2!F$2:N73,7,0)</f>
        <v>0</v>
      </c>
      <c r="J38" s="22">
        <f>VLOOKUP(B38,Sheet2!F$2:N73,8,0)</f>
        <v>60</v>
      </c>
      <c r="K38" s="22">
        <f>SUM(D38:J38)</f>
        <v>60</v>
      </c>
      <c r="L38" s="26"/>
    </row>
    <row r="39" spans="1:12" ht="24.95" customHeight="1">
      <c r="A39" s="22">
        <v>37</v>
      </c>
      <c r="B39" s="23" t="s">
        <v>80</v>
      </c>
      <c r="C39" s="24"/>
      <c r="D39" s="22">
        <f>VLOOKUP(B39,Sheet2!F$2:N74,2,0)</f>
        <v>0</v>
      </c>
      <c r="E39" s="22">
        <f>VLOOKUP(B39,Sheet2!F$2:N72,3,0)</f>
        <v>0</v>
      </c>
      <c r="F39" s="22">
        <f>VLOOKUP(B39,Sheet2!F$2:N72,4,0)</f>
        <v>0</v>
      </c>
      <c r="G39" s="22">
        <f>VLOOKUP(B39,Sheet2!F$2:N72,5,0)</f>
        <v>0</v>
      </c>
      <c r="H39" s="22">
        <f>VLOOKUP(B39,Sheet2!F$2:N72,6,0)</f>
        <v>0</v>
      </c>
      <c r="I39" s="22">
        <f>VLOOKUP(B39,Sheet2!F$2:N72,7,0)</f>
        <v>0</v>
      </c>
      <c r="J39" s="22">
        <f>VLOOKUP(B39,Sheet2!F$2:N72,8,0)</f>
        <v>60</v>
      </c>
      <c r="K39" s="22">
        <f>SUM(D39:J39)</f>
        <v>60</v>
      </c>
      <c r="L39" s="26"/>
    </row>
    <row r="40" spans="1:12" ht="24.95" customHeight="1">
      <c r="A40" s="22">
        <v>38</v>
      </c>
      <c r="B40" s="23" t="s">
        <v>72</v>
      </c>
      <c r="C40" s="24">
        <v>34</v>
      </c>
      <c r="D40" s="22">
        <f>VLOOKUP(B40,Sheet2!F$2:N60,2,0)</f>
        <v>0</v>
      </c>
      <c r="E40" s="22">
        <f>VLOOKUP(B40,Sheet2!F$2:N60,3,0)</f>
        <v>0</v>
      </c>
      <c r="F40" s="22">
        <f>VLOOKUP(B40,Sheet2!F$2:N60,4,0)</f>
        <v>0</v>
      </c>
      <c r="G40" s="22">
        <f>VLOOKUP(B40,Sheet2!F$2:N60,5,0)</f>
        <v>0</v>
      </c>
      <c r="H40" s="22">
        <f>VLOOKUP(B40,Sheet2!F$2:N60,6,0)</f>
        <v>0</v>
      </c>
      <c r="I40" s="22">
        <f>VLOOKUP(B40,Sheet2!F$2:N60,7,0)</f>
        <v>0</v>
      </c>
      <c r="J40" s="22">
        <f>VLOOKUP(B40,Sheet2!F$2:N60,8,0)</f>
        <v>47</v>
      </c>
      <c r="K40" s="22">
        <f>SUM(D40:J40)</f>
        <v>47</v>
      </c>
      <c r="L40" s="26"/>
    </row>
    <row r="41" spans="1:12" ht="24.95" customHeight="1">
      <c r="A41" s="22">
        <v>39</v>
      </c>
      <c r="B41" s="23" t="s">
        <v>83</v>
      </c>
      <c r="C41" s="24"/>
      <c r="D41" s="22">
        <f>VLOOKUP(B41,Sheet2!F$2:N74,2,0)</f>
        <v>0</v>
      </c>
      <c r="E41" s="22">
        <f>VLOOKUP(B41,Sheet2!F$2:N74,3,0)</f>
        <v>0</v>
      </c>
      <c r="F41" s="22">
        <f>VLOOKUP(B41,Sheet2!F$2:N74,4,0)</f>
        <v>0</v>
      </c>
      <c r="G41" s="22">
        <f>VLOOKUP(B41,Sheet2!F$2:N74,5,0)</f>
        <v>0</v>
      </c>
      <c r="H41" s="22">
        <f>VLOOKUP(B41,Sheet2!F$2:N74,6,0)</f>
        <v>0</v>
      </c>
      <c r="I41" s="22">
        <f>VLOOKUP(B41,Sheet2!F$2:N74,7,0)</f>
        <v>0</v>
      </c>
      <c r="J41" s="22">
        <f>VLOOKUP(B41,Sheet2!F$2:N74,8,0)</f>
        <v>36</v>
      </c>
      <c r="K41" s="22">
        <f>SUM(D41:J41)</f>
        <v>36</v>
      </c>
      <c r="L41" s="26"/>
    </row>
    <row r="42" spans="1:12" ht="20.100000000000001" customHeight="1">
      <c r="A42" s="33" t="s">
        <v>61</v>
      </c>
      <c r="B42" s="33"/>
      <c r="C42" s="23">
        <f>SUM(C3:C36)</f>
        <v>699</v>
      </c>
      <c r="D42" s="22">
        <f>SUM(D3:D41)</f>
        <v>7662</v>
      </c>
      <c r="E42" s="22">
        <f t="shared" ref="E42:K42" si="1">SUM(E3:E41)</f>
        <v>4404</v>
      </c>
      <c r="F42" s="22">
        <f t="shared" si="1"/>
        <v>632</v>
      </c>
      <c r="G42" s="22">
        <f t="shared" si="1"/>
        <v>734</v>
      </c>
      <c r="H42" s="22">
        <f t="shared" si="1"/>
        <v>0</v>
      </c>
      <c r="I42" s="22">
        <f t="shared" si="1"/>
        <v>661</v>
      </c>
      <c r="J42" s="22">
        <f t="shared" si="1"/>
        <v>9421</v>
      </c>
      <c r="K42" s="22">
        <f t="shared" si="1"/>
        <v>23514</v>
      </c>
      <c r="L42" s="26">
        <f t="shared" ref="L42" si="2">K42/C42</f>
        <v>33.639484978540771</v>
      </c>
    </row>
    <row r="46" spans="1:12" ht="63" customHeight="1"/>
  </sheetData>
  <sortState xmlns:xlrd2="http://schemas.microsoft.com/office/spreadsheetml/2017/richdata2" ref="B3:K41">
    <sortCondition descending="1" ref="K3:K41"/>
  </sortState>
  <mergeCells count="2">
    <mergeCell ref="A42:B42"/>
    <mergeCell ref="A1:K1"/>
  </mergeCells>
  <conditionalFormatting sqref="K3:K41">
    <cfRule type="cellIs" dxfId="0" priority="1" operator="greaterThan">
      <formula>49</formula>
    </cfRule>
  </conditionalFormatting>
  <printOptions horizontalCentered="1"/>
  <pageMargins left="0.31496062992125984" right="0.31496062992125984" top="0.35433070866141736" bottom="0.35433070866141736" header="0.31496062992125984" footer="0.31496062992125984"/>
  <pageSetup paperSize="9" scale="7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828C-38ED-4EBE-B966-31AF426E6985}">
  <dimension ref="E1:N41"/>
  <sheetViews>
    <sheetView workbookViewId="0">
      <selection activeCell="F12" sqref="F12"/>
    </sheetView>
  </sheetViews>
  <sheetFormatPr defaultRowHeight="15"/>
  <cols>
    <col min="6" max="6" width="40.42578125" customWidth="1"/>
  </cols>
  <sheetData>
    <row r="1" spans="5:14" ht="15.75" thickBot="1"/>
    <row r="2" spans="5:14" ht="21" thickBot="1">
      <c r="E2" s="16">
        <v>1</v>
      </c>
      <c r="F2" s="2" t="s">
        <v>42</v>
      </c>
      <c r="G2" s="17">
        <v>0</v>
      </c>
      <c r="H2" s="17">
        <v>5</v>
      </c>
      <c r="I2" s="17">
        <v>0</v>
      </c>
      <c r="J2" s="17">
        <v>0</v>
      </c>
      <c r="K2" s="17">
        <v>0</v>
      </c>
      <c r="L2" s="17">
        <v>0</v>
      </c>
      <c r="M2" s="17">
        <v>159</v>
      </c>
      <c r="N2" s="18">
        <v>164</v>
      </c>
    </row>
    <row r="3" spans="5:14" ht="21" thickBot="1">
      <c r="E3" s="16">
        <v>2</v>
      </c>
      <c r="F3" s="2" t="s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286</v>
      </c>
      <c r="N3" s="18">
        <v>286</v>
      </c>
    </row>
    <row r="4" spans="5:14" ht="21" thickBot="1">
      <c r="E4" s="16">
        <v>3</v>
      </c>
      <c r="F4" s="2" t="s">
        <v>34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346</v>
      </c>
      <c r="N4" s="18">
        <v>346</v>
      </c>
    </row>
    <row r="5" spans="5:14" ht="21" thickBot="1">
      <c r="E5" s="16">
        <v>4</v>
      </c>
      <c r="F5" s="2" t="s">
        <v>54</v>
      </c>
      <c r="G5" s="17">
        <v>417</v>
      </c>
      <c r="H5" s="17">
        <v>22</v>
      </c>
      <c r="I5" s="17">
        <v>49</v>
      </c>
      <c r="J5" s="17">
        <v>0</v>
      </c>
      <c r="K5" s="17">
        <v>0</v>
      </c>
      <c r="L5" s="17">
        <v>604</v>
      </c>
      <c r="M5" s="17">
        <v>0</v>
      </c>
      <c r="N5" s="18">
        <v>1092</v>
      </c>
    </row>
    <row r="6" spans="5:14" ht="21" thickBot="1">
      <c r="E6" s="16">
        <v>5</v>
      </c>
      <c r="F6" s="2" t="s">
        <v>68</v>
      </c>
      <c r="G6" s="17">
        <v>92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201</v>
      </c>
      <c r="N6" s="18">
        <v>293</v>
      </c>
    </row>
    <row r="7" spans="5:14" ht="21" thickBot="1">
      <c r="E7" s="16">
        <v>6</v>
      </c>
      <c r="F7" s="2" t="s">
        <v>22</v>
      </c>
      <c r="G7" s="17">
        <v>2344</v>
      </c>
      <c r="H7" s="17">
        <v>0</v>
      </c>
      <c r="I7" s="17">
        <v>69</v>
      </c>
      <c r="J7" s="17">
        <v>0</v>
      </c>
      <c r="K7" s="17">
        <v>0</v>
      </c>
      <c r="L7" s="17">
        <v>0</v>
      </c>
      <c r="M7" s="17">
        <v>1439</v>
      </c>
      <c r="N7" s="18">
        <v>3852</v>
      </c>
    </row>
    <row r="8" spans="5:14" ht="21" thickBot="1">
      <c r="E8" s="16">
        <v>7</v>
      </c>
      <c r="F8" s="2" t="s">
        <v>71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69</v>
      </c>
      <c r="N8" s="18">
        <v>69</v>
      </c>
    </row>
    <row r="9" spans="5:14" ht="21" thickBot="1">
      <c r="E9" s="16">
        <v>8</v>
      </c>
      <c r="F9" s="2" t="s">
        <v>37</v>
      </c>
      <c r="G9" s="17">
        <v>0</v>
      </c>
      <c r="H9" s="17">
        <v>263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8">
        <v>263</v>
      </c>
    </row>
    <row r="10" spans="5:14" ht="21" thickBot="1">
      <c r="E10" s="16">
        <v>9</v>
      </c>
      <c r="F10" s="2" t="s">
        <v>62</v>
      </c>
      <c r="G10" s="17">
        <v>0</v>
      </c>
      <c r="H10" s="17">
        <v>508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8">
        <v>508</v>
      </c>
    </row>
    <row r="11" spans="5:14" ht="21" thickBot="1">
      <c r="E11" s="16">
        <v>10</v>
      </c>
      <c r="F11" s="2" t="s">
        <v>72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47</v>
      </c>
      <c r="N11" s="18">
        <v>47</v>
      </c>
    </row>
    <row r="12" spans="5:14" ht="21" thickBot="1">
      <c r="E12" s="16">
        <v>11</v>
      </c>
      <c r="F12" s="2" t="s">
        <v>43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432</v>
      </c>
      <c r="N12" s="18">
        <v>432</v>
      </c>
    </row>
    <row r="13" spans="5:14" ht="21" thickBot="1">
      <c r="E13" s="16">
        <v>12</v>
      </c>
      <c r="F13" s="2" t="s">
        <v>29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75</v>
      </c>
      <c r="N13" s="18">
        <v>75</v>
      </c>
    </row>
    <row r="14" spans="5:14" ht="21" thickBot="1">
      <c r="E14" s="16">
        <v>13</v>
      </c>
      <c r="F14" s="2" t="s">
        <v>55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104</v>
      </c>
      <c r="N14" s="18">
        <v>104</v>
      </c>
    </row>
    <row r="15" spans="5:14" ht="21" thickBot="1">
      <c r="E15" s="16">
        <v>14</v>
      </c>
      <c r="F15" s="2" t="s">
        <v>56</v>
      </c>
      <c r="G15" s="17">
        <v>0</v>
      </c>
      <c r="H15" s="17">
        <v>0</v>
      </c>
      <c r="I15" s="17">
        <v>0</v>
      </c>
      <c r="J15" s="17">
        <v>734</v>
      </c>
      <c r="K15" s="17">
        <v>0</v>
      </c>
      <c r="L15" s="17">
        <v>0</v>
      </c>
      <c r="M15" s="17">
        <v>70</v>
      </c>
      <c r="N15" s="18">
        <v>804</v>
      </c>
    </row>
    <row r="16" spans="5:14" ht="21" thickBot="1">
      <c r="E16" s="16">
        <v>15</v>
      </c>
      <c r="F16" s="2" t="s">
        <v>57</v>
      </c>
      <c r="G16" s="17">
        <v>0</v>
      </c>
      <c r="H16" s="17">
        <v>131</v>
      </c>
      <c r="I16" s="17">
        <v>0</v>
      </c>
      <c r="J16" s="17">
        <v>0</v>
      </c>
      <c r="K16" s="17">
        <v>0</v>
      </c>
      <c r="L16" s="17">
        <v>0</v>
      </c>
      <c r="M16" s="17">
        <v>40</v>
      </c>
      <c r="N16" s="18">
        <v>171</v>
      </c>
    </row>
    <row r="17" spans="5:14" ht="21" thickBot="1">
      <c r="E17" s="16">
        <v>16</v>
      </c>
      <c r="F17" s="2" t="s">
        <v>38</v>
      </c>
      <c r="G17" s="17">
        <v>133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43</v>
      </c>
      <c r="N17" s="18">
        <v>176</v>
      </c>
    </row>
    <row r="18" spans="5:14" ht="21" thickBot="1">
      <c r="E18" s="16">
        <v>17</v>
      </c>
      <c r="F18" s="2" t="s">
        <v>58</v>
      </c>
      <c r="G18" s="17">
        <v>61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8">
        <v>61</v>
      </c>
    </row>
    <row r="19" spans="5:14" ht="21" thickBot="1">
      <c r="E19" s="16">
        <v>18</v>
      </c>
      <c r="F19" s="2" t="s">
        <v>35</v>
      </c>
      <c r="G19" s="17">
        <v>41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364</v>
      </c>
      <c r="N19" s="18">
        <v>405</v>
      </c>
    </row>
    <row r="20" spans="5:14" ht="21" thickBot="1">
      <c r="E20" s="16">
        <v>19</v>
      </c>
      <c r="F20" s="2" t="s">
        <v>21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295</v>
      </c>
      <c r="N20" s="18">
        <v>295</v>
      </c>
    </row>
    <row r="21" spans="5:14" ht="21" thickBot="1">
      <c r="E21" s="16">
        <v>20</v>
      </c>
      <c r="F21" s="2" t="s">
        <v>28</v>
      </c>
      <c r="G21" s="17">
        <v>185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1848</v>
      </c>
      <c r="N21" s="18">
        <v>2033</v>
      </c>
    </row>
    <row r="22" spans="5:14" ht="21" thickBot="1">
      <c r="E22" s="16">
        <v>21</v>
      </c>
      <c r="F22" s="2" t="s">
        <v>59</v>
      </c>
      <c r="G22" s="17">
        <v>106</v>
      </c>
      <c r="H22" s="17">
        <v>20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8">
        <v>126</v>
      </c>
    </row>
    <row r="23" spans="5:14" ht="21" thickBot="1">
      <c r="E23" s="16">
        <v>22</v>
      </c>
      <c r="F23" s="2" t="s">
        <v>78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66</v>
      </c>
      <c r="N23" s="18">
        <v>66</v>
      </c>
    </row>
    <row r="24" spans="5:14" ht="21" thickBot="1">
      <c r="E24" s="16">
        <v>23</v>
      </c>
      <c r="F24" s="2" t="s">
        <v>40</v>
      </c>
      <c r="G24" s="17">
        <v>171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8">
        <v>171</v>
      </c>
    </row>
    <row r="25" spans="5:14" ht="21" thickBot="1">
      <c r="E25" s="16">
        <v>24</v>
      </c>
      <c r="F25" s="2" t="s">
        <v>41</v>
      </c>
      <c r="G25" s="17">
        <v>8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60</v>
      </c>
      <c r="N25" s="18">
        <v>68</v>
      </c>
    </row>
    <row r="26" spans="5:14" ht="21" thickBot="1">
      <c r="E26" s="16">
        <v>25</v>
      </c>
      <c r="F26" s="2" t="s">
        <v>60</v>
      </c>
      <c r="G26" s="17">
        <v>594</v>
      </c>
      <c r="H26" s="17">
        <v>46</v>
      </c>
      <c r="I26" s="17">
        <v>32</v>
      </c>
      <c r="J26" s="17">
        <v>0</v>
      </c>
      <c r="K26" s="17">
        <v>0</v>
      </c>
      <c r="L26" s="17">
        <v>0</v>
      </c>
      <c r="M26" s="17">
        <v>575</v>
      </c>
      <c r="N26" s="18">
        <v>1247</v>
      </c>
    </row>
    <row r="27" spans="5:14" ht="21" thickBot="1">
      <c r="E27" s="16">
        <v>26</v>
      </c>
      <c r="F27" s="2" t="s">
        <v>79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235</v>
      </c>
      <c r="N27" s="18">
        <v>235</v>
      </c>
    </row>
    <row r="28" spans="5:14" ht="21" thickBot="1">
      <c r="E28" s="16">
        <v>27</v>
      </c>
      <c r="F28" s="2" t="s">
        <v>80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60</v>
      </c>
      <c r="N28" s="18">
        <v>60</v>
      </c>
    </row>
    <row r="29" spans="5:14" ht="21" thickBot="1">
      <c r="E29" s="16">
        <v>28</v>
      </c>
      <c r="F29" s="2" t="s">
        <v>44</v>
      </c>
      <c r="G29" s="17">
        <v>273</v>
      </c>
      <c r="H29" s="17">
        <v>1556</v>
      </c>
      <c r="I29" s="17">
        <v>0</v>
      </c>
      <c r="J29" s="17">
        <v>0</v>
      </c>
      <c r="K29" s="17">
        <v>0</v>
      </c>
      <c r="L29" s="17">
        <v>50</v>
      </c>
      <c r="M29" s="17">
        <v>0</v>
      </c>
      <c r="N29" s="18">
        <v>1879</v>
      </c>
    </row>
    <row r="30" spans="5:14" ht="21" thickBot="1">
      <c r="E30" s="16">
        <v>29</v>
      </c>
      <c r="F30" s="2" t="s">
        <v>81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60</v>
      </c>
      <c r="N30" s="18">
        <v>60</v>
      </c>
    </row>
    <row r="31" spans="5:14" ht="21" thickBot="1">
      <c r="E31" s="16">
        <v>30</v>
      </c>
      <c r="F31" s="2" t="s">
        <v>18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60</v>
      </c>
      <c r="N31" s="18">
        <v>60</v>
      </c>
    </row>
    <row r="32" spans="5:14" ht="21" thickBot="1">
      <c r="E32" s="16">
        <v>31</v>
      </c>
      <c r="F32" s="2" t="s">
        <v>82</v>
      </c>
      <c r="G32" s="17">
        <v>17</v>
      </c>
      <c r="H32" s="17">
        <v>60</v>
      </c>
      <c r="I32" s="17">
        <v>0</v>
      </c>
      <c r="J32" s="17">
        <v>0</v>
      </c>
      <c r="K32" s="17">
        <v>0</v>
      </c>
      <c r="L32" s="17">
        <v>0</v>
      </c>
      <c r="M32" s="17">
        <v>37</v>
      </c>
      <c r="N32" s="18">
        <v>114</v>
      </c>
    </row>
    <row r="33" spans="5:14" ht="21" thickBot="1">
      <c r="E33" s="16">
        <v>32</v>
      </c>
      <c r="F33" s="2" t="s">
        <v>16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120</v>
      </c>
      <c r="N33" s="18">
        <v>120</v>
      </c>
    </row>
    <row r="34" spans="5:14" ht="21" thickBot="1">
      <c r="E34" s="16">
        <v>33</v>
      </c>
      <c r="F34" s="2" t="s">
        <v>39</v>
      </c>
      <c r="G34" s="17">
        <v>1389</v>
      </c>
      <c r="H34" s="17">
        <v>1055</v>
      </c>
      <c r="I34" s="17">
        <v>482</v>
      </c>
      <c r="J34" s="17">
        <v>0</v>
      </c>
      <c r="K34" s="17">
        <v>0</v>
      </c>
      <c r="L34" s="17">
        <v>0</v>
      </c>
      <c r="M34" s="17">
        <v>1444</v>
      </c>
      <c r="N34" s="18">
        <v>4370</v>
      </c>
    </row>
    <row r="35" spans="5:14" ht="21" thickBot="1">
      <c r="E35" s="16">
        <v>34</v>
      </c>
      <c r="F35" s="2" t="s">
        <v>1</v>
      </c>
      <c r="G35" s="17">
        <v>0</v>
      </c>
      <c r="H35" s="17">
        <v>733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8">
        <v>733</v>
      </c>
    </row>
    <row r="36" spans="5:14" ht="21" thickBot="1">
      <c r="E36" s="16">
        <v>35</v>
      </c>
      <c r="F36" s="2" t="s">
        <v>36</v>
      </c>
      <c r="G36" s="17">
        <v>66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8">
        <v>66</v>
      </c>
    </row>
    <row r="37" spans="5:14" ht="21" thickBot="1">
      <c r="E37" s="16">
        <v>36</v>
      </c>
      <c r="F37" s="2" t="s">
        <v>19</v>
      </c>
      <c r="G37" s="17">
        <v>245</v>
      </c>
      <c r="H37" s="17">
        <v>5</v>
      </c>
      <c r="I37" s="17">
        <v>0</v>
      </c>
      <c r="J37" s="17">
        <v>0</v>
      </c>
      <c r="K37" s="17">
        <v>0</v>
      </c>
      <c r="L37" s="17">
        <v>0</v>
      </c>
      <c r="M37" s="17">
        <v>97</v>
      </c>
      <c r="N37" s="18">
        <v>347</v>
      </c>
    </row>
    <row r="38" spans="5:14" ht="21" thickBot="1">
      <c r="E38" s="16">
        <v>37</v>
      </c>
      <c r="F38" s="2" t="s">
        <v>45</v>
      </c>
      <c r="G38" s="17">
        <v>1520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651</v>
      </c>
      <c r="N38" s="18">
        <v>2171</v>
      </c>
    </row>
    <row r="39" spans="5:14" ht="21" thickBot="1">
      <c r="E39" s="16">
        <v>38</v>
      </c>
      <c r="F39" s="2" t="s">
        <v>20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7</v>
      </c>
      <c r="M39" s="17">
        <v>102</v>
      </c>
      <c r="N39" s="18">
        <v>109</v>
      </c>
    </row>
    <row r="40" spans="5:14" ht="21" thickBot="1">
      <c r="E40" s="16">
        <v>39</v>
      </c>
      <c r="F40" s="2" t="s">
        <v>83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36</v>
      </c>
      <c r="N40" s="18">
        <v>36</v>
      </c>
    </row>
    <row r="41" spans="5:14" ht="21.75" customHeight="1" thickBot="1">
      <c r="E41" s="35" t="s">
        <v>61</v>
      </c>
      <c r="F41" s="36"/>
      <c r="G41" s="19">
        <v>7662</v>
      </c>
      <c r="H41" s="19">
        <v>4404</v>
      </c>
      <c r="I41" s="19">
        <v>632</v>
      </c>
      <c r="J41" s="19">
        <v>734</v>
      </c>
      <c r="K41" s="19">
        <v>0</v>
      </c>
      <c r="L41" s="19">
        <v>661</v>
      </c>
      <c r="M41" s="19">
        <v>9421</v>
      </c>
      <c r="N41" s="19">
        <v>23514</v>
      </c>
    </row>
  </sheetData>
  <mergeCells count="1">
    <mergeCell ref="E41:F4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526F-1898-4B1F-8B92-3C865404B9A1}">
  <dimension ref="A1:T41"/>
  <sheetViews>
    <sheetView topLeftCell="A25" zoomScaleNormal="100" workbookViewId="0">
      <selection activeCell="V37" sqref="V37"/>
    </sheetView>
  </sheetViews>
  <sheetFormatPr defaultRowHeight="15"/>
  <cols>
    <col min="1" max="1" width="5.85546875" bestFit="1" customWidth="1"/>
    <col min="2" max="2" width="26.7109375" bestFit="1" customWidth="1"/>
    <col min="3" max="3" width="9.140625" hidden="1" customWidth="1"/>
    <col min="4" max="4" width="0" hidden="1" customWidth="1"/>
    <col min="5" max="5" width="10" hidden="1" customWidth="1"/>
    <col min="6" max="6" width="11" hidden="1" customWidth="1"/>
    <col min="7" max="7" width="10" hidden="1" customWidth="1"/>
    <col min="8" max="8" width="0" hidden="1" customWidth="1"/>
    <col min="9" max="9" width="11" hidden="1" customWidth="1"/>
    <col min="10" max="11" width="0" hidden="1" customWidth="1"/>
    <col min="12" max="13" width="10.5703125" style="20" hidden="1" customWidth="1"/>
    <col min="14" max="14" width="10.7109375" customWidth="1"/>
    <col min="15" max="15" width="0" hidden="1" customWidth="1"/>
    <col min="16" max="16" width="11" customWidth="1"/>
    <col min="17" max="17" width="0" hidden="1" customWidth="1"/>
    <col min="18" max="18" width="12" customWidth="1"/>
    <col min="19" max="19" width="0" hidden="1" customWidth="1"/>
    <col min="20" max="20" width="10.7109375" customWidth="1"/>
  </cols>
  <sheetData>
    <row r="1" spans="1:20" ht="15.75" customHeight="1">
      <c r="A1" s="37" t="s">
        <v>95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ht="63.75">
      <c r="A2" s="22" t="s">
        <v>2</v>
      </c>
      <c r="B2" s="22" t="s">
        <v>3</v>
      </c>
      <c r="C2" s="22" t="s">
        <v>90</v>
      </c>
      <c r="D2" s="22" t="s">
        <v>46</v>
      </c>
      <c r="E2" s="22" t="s">
        <v>47</v>
      </c>
      <c r="F2" s="22" t="s">
        <v>48</v>
      </c>
      <c r="G2" s="22" t="s">
        <v>49</v>
      </c>
      <c r="H2" s="22" t="s">
        <v>50</v>
      </c>
      <c r="I2" s="22" t="s">
        <v>51</v>
      </c>
      <c r="J2" s="22" t="s">
        <v>52</v>
      </c>
      <c r="K2" s="22" t="s">
        <v>53</v>
      </c>
      <c r="L2" s="22" t="s">
        <v>91</v>
      </c>
      <c r="M2" s="28"/>
      <c r="N2" s="22" t="s">
        <v>96</v>
      </c>
      <c r="O2" s="22"/>
      <c r="P2" s="22" t="s">
        <v>97</v>
      </c>
      <c r="Q2" s="22"/>
      <c r="R2" s="22" t="s">
        <v>98</v>
      </c>
      <c r="S2" s="29"/>
      <c r="T2" s="22" t="s">
        <v>99</v>
      </c>
    </row>
    <row r="3" spans="1:20" ht="27.95" customHeight="1">
      <c r="A3" s="22">
        <v>1</v>
      </c>
      <c r="B3" s="23" t="s">
        <v>62</v>
      </c>
      <c r="C3" s="24">
        <f>VLOOKUP(B3,'[1]export - 2026-04-25T055159.564 '!$A$1:$B$35,2,0)</f>
        <v>28</v>
      </c>
      <c r="D3" s="25">
        <f>VLOOKUP(B3,weeks!F$2:N54,2,0)</f>
        <v>31</v>
      </c>
      <c r="E3" s="25">
        <f>VLOOKUP(B3,weeks!F$2:N54,3,0)</f>
        <v>31</v>
      </c>
      <c r="F3" s="25">
        <f>VLOOKUP(B3,weeks!F$2:N54,4,0)</f>
        <v>2</v>
      </c>
      <c r="G3" s="25">
        <f>VLOOKUP(B3,weeks!F$2:N54,5,0)</f>
        <v>0</v>
      </c>
      <c r="H3" s="25">
        <f>VLOOKUP(B3,weeks!F$2:N54,6,0)</f>
        <v>0</v>
      </c>
      <c r="I3" s="25">
        <f>VLOOKUP(B3,weeks!F$2:N54,7,0)</f>
        <v>0</v>
      </c>
      <c r="J3" s="25">
        <f>VLOOKUP(B3,weeks!F$2:N54,8,0)</f>
        <v>0</v>
      </c>
      <c r="K3" s="25">
        <f t="shared" ref="K3:K36" si="0">SUM(D3:J3)</f>
        <v>64</v>
      </c>
      <c r="L3" s="26">
        <f t="shared" ref="L3:L14" si="1">K3/C3</f>
        <v>2.2857142857142856</v>
      </c>
      <c r="M3" s="27"/>
      <c r="N3" s="30">
        <v>8</v>
      </c>
      <c r="O3" s="31">
        <v>2.6666666666666665</v>
      </c>
      <c r="P3" s="30">
        <v>96</v>
      </c>
      <c r="Q3" s="31">
        <v>24</v>
      </c>
      <c r="R3" s="30">
        <v>64</v>
      </c>
      <c r="S3" s="31">
        <v>2.2857142857142856</v>
      </c>
      <c r="T3" s="30">
        <f t="shared" ref="T3:T36" si="2">SUM(N3,P3,R3)</f>
        <v>168</v>
      </c>
    </row>
    <row r="4" spans="1:20" ht="27.95" customHeight="1">
      <c r="A4" s="22">
        <v>2</v>
      </c>
      <c r="B4" s="23" t="s">
        <v>63</v>
      </c>
      <c r="C4" s="24">
        <f>VLOOKUP(B4,'[1]export - 2026-04-25T055159.564 '!$A$1:$B$35,2,0)</f>
        <v>17</v>
      </c>
      <c r="D4" s="25">
        <f>VLOOKUP(B4,weeks!F$2:N48,2,0)</f>
        <v>11</v>
      </c>
      <c r="E4" s="25">
        <f>VLOOKUP(B4,weeks!F$2:N48,3,0)</f>
        <v>0</v>
      </c>
      <c r="F4" s="25">
        <f>VLOOKUP(B4,weeks!F$2:N48,4,0)</f>
        <v>0</v>
      </c>
      <c r="G4" s="25">
        <f>VLOOKUP(B4,weeks!F$2:N48,5,0)</f>
        <v>0</v>
      </c>
      <c r="H4" s="25">
        <f>VLOOKUP(B4,weeks!F$2:N48,6,0)</f>
        <v>0</v>
      </c>
      <c r="I4" s="25">
        <f>VLOOKUP(B4,weeks!F$2:N48,7,0)</f>
        <v>0</v>
      </c>
      <c r="J4" s="25">
        <f>VLOOKUP(B4,weeks!F$2:N48,8,0)</f>
        <v>0</v>
      </c>
      <c r="K4" s="25">
        <f t="shared" si="0"/>
        <v>11</v>
      </c>
      <c r="L4" s="26">
        <f t="shared" si="1"/>
        <v>0.6470588235294118</v>
      </c>
      <c r="M4" s="27"/>
      <c r="N4" s="30">
        <v>10</v>
      </c>
      <c r="O4" s="31">
        <v>3.3333333333333335</v>
      </c>
      <c r="P4" s="30">
        <v>29</v>
      </c>
      <c r="Q4" s="31" t="e">
        <v>#N/A</v>
      </c>
      <c r="R4" s="30">
        <v>11</v>
      </c>
      <c r="S4" s="31">
        <v>0.6470588235294118</v>
      </c>
      <c r="T4" s="30">
        <f t="shared" si="2"/>
        <v>50</v>
      </c>
    </row>
    <row r="5" spans="1:20" ht="27.95" customHeight="1">
      <c r="A5" s="22">
        <v>3</v>
      </c>
      <c r="B5" s="23" t="s">
        <v>22</v>
      </c>
      <c r="C5" s="24">
        <f>VLOOKUP(B5,'[1]export - 2026-04-25T055159.564 '!$A$1:$B$35,2,0)</f>
        <v>22</v>
      </c>
      <c r="D5" s="25">
        <f>VLOOKUP(B5,weeks!F$2:N49,2,0)</f>
        <v>9</v>
      </c>
      <c r="E5" s="25">
        <f>VLOOKUP(B5,weeks!F$2:N49,3,0)</f>
        <v>0</v>
      </c>
      <c r="F5" s="25">
        <f>VLOOKUP(B5,weeks!F$2:N49,4,0)</f>
        <v>4</v>
      </c>
      <c r="G5" s="25">
        <f>VLOOKUP(B5,weeks!F$2:N49,5,0)</f>
        <v>0</v>
      </c>
      <c r="H5" s="25">
        <f>VLOOKUP(B5,weeks!F$2:N49,6,0)</f>
        <v>0</v>
      </c>
      <c r="I5" s="25">
        <f>VLOOKUP(B5,weeks!F$2:N49,7,0)</f>
        <v>0</v>
      </c>
      <c r="J5" s="25">
        <f>VLOOKUP(B5,weeks!F$2:N49,8,0)</f>
        <v>1</v>
      </c>
      <c r="K5" s="25">
        <f t="shared" si="0"/>
        <v>14</v>
      </c>
      <c r="L5" s="26">
        <f t="shared" si="1"/>
        <v>0.63636363636363635</v>
      </c>
      <c r="M5" s="27"/>
      <c r="N5" s="30">
        <v>13</v>
      </c>
      <c r="O5" s="31">
        <v>13</v>
      </c>
      <c r="P5" s="30">
        <v>18</v>
      </c>
      <c r="Q5" s="31">
        <v>9</v>
      </c>
      <c r="R5" s="30">
        <v>14</v>
      </c>
      <c r="S5" s="31">
        <v>0.63636363636363635</v>
      </c>
      <c r="T5" s="30">
        <f t="shared" si="2"/>
        <v>45</v>
      </c>
    </row>
    <row r="6" spans="1:20" ht="27.95" customHeight="1">
      <c r="A6" s="22">
        <v>4</v>
      </c>
      <c r="B6" s="23" t="s">
        <v>70</v>
      </c>
      <c r="C6" s="24">
        <f>VLOOKUP(B6,'[1]export - 2026-04-25T055159.564 '!$A$1:$B$35,2,0)</f>
        <v>30</v>
      </c>
      <c r="D6" s="25">
        <f>VLOOKUP(B6,weeks!F$2:N50,2,0)</f>
        <v>3</v>
      </c>
      <c r="E6" s="25">
        <f>VLOOKUP(B6,weeks!F$2:N50,3,0)</f>
        <v>0</v>
      </c>
      <c r="F6" s="25">
        <f>VLOOKUP(B6,weeks!F$2:N50,4,0)</f>
        <v>0</v>
      </c>
      <c r="G6" s="25">
        <f>VLOOKUP(B6,weeks!F$2:N50,5,0)</f>
        <v>0</v>
      </c>
      <c r="H6" s="25">
        <f>VLOOKUP(B6,weeks!F$2:N50,6,0)</f>
        <v>0</v>
      </c>
      <c r="I6" s="25">
        <f>VLOOKUP(B6,weeks!F$2:N50,7,0)</f>
        <v>0</v>
      </c>
      <c r="J6" s="25">
        <f>VLOOKUP(B6,weeks!F$2:N50,8,0)</f>
        <v>0</v>
      </c>
      <c r="K6" s="25">
        <f t="shared" si="0"/>
        <v>3</v>
      </c>
      <c r="L6" s="26">
        <f t="shared" si="1"/>
        <v>0.1</v>
      </c>
      <c r="M6" s="27"/>
      <c r="N6" s="30">
        <v>18</v>
      </c>
      <c r="O6" s="31">
        <v>1.8</v>
      </c>
      <c r="P6" s="30">
        <v>19</v>
      </c>
      <c r="Q6" s="31">
        <v>1.1176470588235294</v>
      </c>
      <c r="R6" s="30">
        <v>3</v>
      </c>
      <c r="S6" s="31">
        <v>0.1</v>
      </c>
      <c r="T6" s="30">
        <f t="shared" si="2"/>
        <v>40</v>
      </c>
    </row>
    <row r="7" spans="1:20" ht="27.95" customHeight="1">
      <c r="A7" s="22">
        <v>5</v>
      </c>
      <c r="B7" s="23" t="s">
        <v>21</v>
      </c>
      <c r="C7" s="24">
        <f>VLOOKUP(B7,'[1]export - 2026-04-25T055159.564 '!$A$1:$B$35,2,0)</f>
        <v>20</v>
      </c>
      <c r="D7" s="25">
        <f>VLOOKUP(B7,weeks!F$2:N44,2,0)</f>
        <v>2</v>
      </c>
      <c r="E7" s="25">
        <f>VLOOKUP(B7,weeks!F$2:N44,3,0)</f>
        <v>5</v>
      </c>
      <c r="F7" s="25">
        <f>VLOOKUP(B7,weeks!F$2:N44,4,0)</f>
        <v>0</v>
      </c>
      <c r="G7" s="25">
        <f>VLOOKUP(B7,weeks!F$2:N44,5,0)</f>
        <v>0</v>
      </c>
      <c r="H7" s="25">
        <f>VLOOKUP(B7,weeks!F$2:N44,6,0)</f>
        <v>0</v>
      </c>
      <c r="I7" s="25">
        <f>VLOOKUP(B7,weeks!F$2:N44,7,0)</f>
        <v>0</v>
      </c>
      <c r="J7" s="25">
        <f>VLOOKUP(B7,weeks!F$2:N44,8,0)</f>
        <v>0</v>
      </c>
      <c r="K7" s="25">
        <f t="shared" si="0"/>
        <v>7</v>
      </c>
      <c r="L7" s="26">
        <f t="shared" si="1"/>
        <v>0.35</v>
      </c>
      <c r="M7" s="27"/>
      <c r="N7" s="30">
        <v>0</v>
      </c>
      <c r="O7" s="31">
        <v>0</v>
      </c>
      <c r="P7" s="30">
        <v>23</v>
      </c>
      <c r="Q7" s="31">
        <v>3.2857142857142856</v>
      </c>
      <c r="R7" s="30">
        <v>7</v>
      </c>
      <c r="S7" s="31">
        <v>0.35</v>
      </c>
      <c r="T7" s="30">
        <f t="shared" si="2"/>
        <v>30</v>
      </c>
    </row>
    <row r="8" spans="1:20" ht="27.95" customHeight="1">
      <c r="A8" s="22">
        <v>6</v>
      </c>
      <c r="B8" s="23" t="s">
        <v>77</v>
      </c>
      <c r="C8" s="24">
        <f>VLOOKUP(B8,'[1]export - 2026-04-25T055159.564 '!$A$1:$B$35,2,0)</f>
        <v>20</v>
      </c>
      <c r="D8" s="25">
        <f>VLOOKUP(B8,weeks!F$2:N46,2,0)</f>
        <v>9</v>
      </c>
      <c r="E8" s="25">
        <f>VLOOKUP(B8,weeks!F$2:N46,3,0)</f>
        <v>0</v>
      </c>
      <c r="F8" s="25">
        <f>VLOOKUP(B8,weeks!F$2:N46,4,0)</f>
        <v>0</v>
      </c>
      <c r="G8" s="25">
        <f>VLOOKUP(B8,weeks!F$2:N46,5,0)</f>
        <v>0</v>
      </c>
      <c r="H8" s="25">
        <f>VLOOKUP(B8,weeks!F$2:N46,6,0)</f>
        <v>0</v>
      </c>
      <c r="I8" s="25">
        <f>VLOOKUP(B8,weeks!F$2:N46,7,0)</f>
        <v>0</v>
      </c>
      <c r="J8" s="25">
        <f>VLOOKUP(B8,weeks!F$2:N46,8,0)</f>
        <v>0</v>
      </c>
      <c r="K8" s="25">
        <f t="shared" si="0"/>
        <v>9</v>
      </c>
      <c r="L8" s="26">
        <f t="shared" si="1"/>
        <v>0.45</v>
      </c>
      <c r="M8" s="27"/>
      <c r="N8" s="30">
        <v>10</v>
      </c>
      <c r="O8" s="31">
        <v>10</v>
      </c>
      <c r="P8" s="30">
        <v>11</v>
      </c>
      <c r="Q8" s="31">
        <v>3.6666666666666665</v>
      </c>
      <c r="R8" s="30">
        <v>9</v>
      </c>
      <c r="S8" s="31">
        <v>0.45</v>
      </c>
      <c r="T8" s="30">
        <f t="shared" si="2"/>
        <v>30</v>
      </c>
    </row>
    <row r="9" spans="1:20" ht="27.95" customHeight="1">
      <c r="A9" s="22">
        <v>7</v>
      </c>
      <c r="B9" s="23" t="s">
        <v>34</v>
      </c>
      <c r="C9" s="24">
        <f>VLOOKUP(B9,'[1]export - 2026-04-25T055159.564 '!$A$1:$B$35,2,0)</f>
        <v>31</v>
      </c>
      <c r="D9" s="25">
        <f>VLOOKUP(B9,weeks!F$2:N40,2,0)</f>
        <v>0</v>
      </c>
      <c r="E9" s="25">
        <f>VLOOKUP(B9,weeks!F$2:N40,3,0)</f>
        <v>6</v>
      </c>
      <c r="F9" s="25">
        <f>VLOOKUP(B9,weeks!F$2:N40,4,0)</f>
        <v>0</v>
      </c>
      <c r="G9" s="25">
        <f>VLOOKUP(B9,weeks!F$2:N40,5,0)</f>
        <v>0</v>
      </c>
      <c r="H9" s="25">
        <f>VLOOKUP(B9,weeks!F$2:N40,6,0)</f>
        <v>0</v>
      </c>
      <c r="I9" s="25">
        <f>VLOOKUP(B9,weeks!F$2:N40,7,0)</f>
        <v>0</v>
      </c>
      <c r="J9" s="25">
        <f>VLOOKUP(B9,weeks!F$2:N40,8,0)</f>
        <v>0</v>
      </c>
      <c r="K9" s="25">
        <f t="shared" si="0"/>
        <v>6</v>
      </c>
      <c r="L9" s="26">
        <f t="shared" si="1"/>
        <v>0.19354838709677419</v>
      </c>
      <c r="M9" s="27"/>
      <c r="N9" s="30">
        <v>2</v>
      </c>
      <c r="O9" s="31">
        <v>1</v>
      </c>
      <c r="P9" s="30">
        <v>19</v>
      </c>
      <c r="Q9" s="31">
        <v>3.8</v>
      </c>
      <c r="R9" s="30">
        <v>6</v>
      </c>
      <c r="S9" s="31">
        <v>0.19354838709677419</v>
      </c>
      <c r="T9" s="30">
        <f t="shared" si="2"/>
        <v>27</v>
      </c>
    </row>
    <row r="10" spans="1:20" ht="27.95" customHeight="1">
      <c r="A10" s="22">
        <v>8</v>
      </c>
      <c r="B10" s="23" t="s">
        <v>68</v>
      </c>
      <c r="C10" s="24">
        <f>VLOOKUP(B10,'[1]export - 2026-04-25T055159.564 '!$A$1:$B$35,2,0)</f>
        <v>34</v>
      </c>
      <c r="D10" s="25">
        <f>VLOOKUP(B10,weeks!F$2:N47,2,0)</f>
        <v>0</v>
      </c>
      <c r="E10" s="25">
        <f>VLOOKUP(B10,weeks!F$2:N47,3,0)</f>
        <v>0</v>
      </c>
      <c r="F10" s="25">
        <f>VLOOKUP(B10,weeks!F$2:N47,4,0)</f>
        <v>0</v>
      </c>
      <c r="G10" s="25">
        <f>VLOOKUP(B10,weeks!F$2:N47,5,0)</f>
        <v>0</v>
      </c>
      <c r="H10" s="25">
        <f>VLOOKUP(B10,weeks!F$2:N47,6,0)</f>
        <v>0</v>
      </c>
      <c r="I10" s="25">
        <f>VLOOKUP(B10,weeks!F$2:N47,7,0)</f>
        <v>0</v>
      </c>
      <c r="J10" s="25">
        <f>VLOOKUP(B10,weeks!F$2:N47,8,0)</f>
        <v>0</v>
      </c>
      <c r="K10" s="25">
        <f t="shared" si="0"/>
        <v>0</v>
      </c>
      <c r="L10" s="26">
        <f t="shared" si="1"/>
        <v>0</v>
      </c>
      <c r="M10" s="27"/>
      <c r="N10" s="30">
        <v>19</v>
      </c>
      <c r="O10" s="31">
        <v>3.8</v>
      </c>
      <c r="P10" s="30">
        <v>6</v>
      </c>
      <c r="Q10" s="31">
        <v>2</v>
      </c>
      <c r="R10" s="30">
        <v>0</v>
      </c>
      <c r="S10" s="31">
        <v>0</v>
      </c>
      <c r="T10" s="30">
        <f t="shared" si="2"/>
        <v>25</v>
      </c>
    </row>
    <row r="11" spans="1:20" ht="27.95" customHeight="1">
      <c r="A11" s="22">
        <v>9</v>
      </c>
      <c r="B11" s="23" t="s">
        <v>67</v>
      </c>
      <c r="C11" s="24">
        <f>VLOOKUP(B11,'[1]export - 2026-04-25T055159.564 '!$A$1:$B$35,2,0)</f>
        <v>26</v>
      </c>
      <c r="D11" s="25">
        <f>VLOOKUP(B11,weeks!F$2:N66,2,0)</f>
        <v>0</v>
      </c>
      <c r="E11" s="25">
        <f>VLOOKUP(B11,weeks!F$2:N66,3,0)</f>
        <v>0</v>
      </c>
      <c r="F11" s="25">
        <f>VLOOKUP(B11,weeks!F$2:N66,4,0)</f>
        <v>0</v>
      </c>
      <c r="G11" s="25">
        <f>VLOOKUP(B11,weeks!F$2:N66,5,0)</f>
        <v>0</v>
      </c>
      <c r="H11" s="25">
        <f>VLOOKUP(B11,weeks!F$2:N66,6,0)</f>
        <v>0</v>
      </c>
      <c r="I11" s="25">
        <f>VLOOKUP(B11,weeks!F$2:N66,7,0)</f>
        <v>0</v>
      </c>
      <c r="J11" s="25">
        <f>VLOOKUP(B11,weeks!F$2:N66,8,0)</f>
        <v>0</v>
      </c>
      <c r="K11" s="25">
        <f t="shared" si="0"/>
        <v>0</v>
      </c>
      <c r="L11" s="26">
        <f t="shared" si="1"/>
        <v>0</v>
      </c>
      <c r="M11" s="27"/>
      <c r="N11" s="30">
        <v>0</v>
      </c>
      <c r="O11" s="31">
        <v>0</v>
      </c>
      <c r="P11" s="30">
        <v>24</v>
      </c>
      <c r="Q11" s="31">
        <v>4.8</v>
      </c>
      <c r="R11" s="30">
        <v>0</v>
      </c>
      <c r="S11" s="31">
        <v>0</v>
      </c>
      <c r="T11" s="30">
        <f t="shared" si="2"/>
        <v>24</v>
      </c>
    </row>
    <row r="12" spans="1:20" ht="27.95" customHeight="1">
      <c r="A12" s="22">
        <v>10</v>
      </c>
      <c r="B12" s="23" t="s">
        <v>54</v>
      </c>
      <c r="C12" s="24">
        <f>VLOOKUP(B12,'[1]export - 2026-04-25T055159.564 '!$A$1:$B$35,2,0)</f>
        <v>35</v>
      </c>
      <c r="D12" s="25">
        <f>VLOOKUP(B12,weeks!F$2:N41,2,0)</f>
        <v>0</v>
      </c>
      <c r="E12" s="25">
        <f>VLOOKUP(B12,weeks!F$2:N41,3,0)</f>
        <v>0</v>
      </c>
      <c r="F12" s="25">
        <f>VLOOKUP(B12,weeks!F$2:N41,4,0)</f>
        <v>0</v>
      </c>
      <c r="G12" s="25">
        <f>VLOOKUP(B12,weeks!F$2:N41,5,0)</f>
        <v>0</v>
      </c>
      <c r="H12" s="25">
        <f>VLOOKUP(B12,weeks!F$2:N41,6,0)</f>
        <v>0</v>
      </c>
      <c r="I12" s="25">
        <f>VLOOKUP(B12,weeks!F$2:N41,7,0)</f>
        <v>0</v>
      </c>
      <c r="J12" s="25">
        <f>VLOOKUP(B12,weeks!F$2:N41,8,0)</f>
        <v>0</v>
      </c>
      <c r="K12" s="25">
        <f t="shared" si="0"/>
        <v>0</v>
      </c>
      <c r="L12" s="26">
        <f t="shared" si="1"/>
        <v>0</v>
      </c>
      <c r="M12" s="27"/>
      <c r="N12" s="30">
        <v>14</v>
      </c>
      <c r="O12" s="31">
        <v>2.3333333333333335</v>
      </c>
      <c r="P12" s="30">
        <v>0</v>
      </c>
      <c r="Q12" s="31">
        <v>0</v>
      </c>
      <c r="R12" s="30">
        <v>0</v>
      </c>
      <c r="S12" s="31">
        <v>0</v>
      </c>
      <c r="T12" s="30">
        <f t="shared" si="2"/>
        <v>14</v>
      </c>
    </row>
    <row r="13" spans="1:20" ht="27.95" customHeight="1">
      <c r="A13" s="22">
        <v>11</v>
      </c>
      <c r="B13" s="23" t="s">
        <v>72</v>
      </c>
      <c r="C13" s="24">
        <f>VLOOKUP(B13,'[1]export - 2026-04-25T055159.564 '!$A$1:$B$35,2,0)</f>
        <v>34</v>
      </c>
      <c r="D13" s="25">
        <f>VLOOKUP(B13,weeks!F$2:N62,2,0)</f>
        <v>3</v>
      </c>
      <c r="E13" s="25">
        <f>VLOOKUP(B13,weeks!F$2:N62,3,0)</f>
        <v>0</v>
      </c>
      <c r="F13" s="25">
        <f>VLOOKUP(B13,weeks!F$2:N62,4,0)</f>
        <v>0</v>
      </c>
      <c r="G13" s="25">
        <f>VLOOKUP(B13,weeks!F$2:N62,5,0)</f>
        <v>0</v>
      </c>
      <c r="H13" s="25">
        <f>VLOOKUP(B13,weeks!F$2:N62,6,0)</f>
        <v>0</v>
      </c>
      <c r="I13" s="25">
        <f>VLOOKUP(B13,weeks!F$2:N62,7,0)</f>
        <v>0</v>
      </c>
      <c r="J13" s="25">
        <f>VLOOKUP(B13,weeks!F$2:N62,8,0)</f>
        <v>0</v>
      </c>
      <c r="K13" s="25">
        <f t="shared" si="0"/>
        <v>3</v>
      </c>
      <c r="L13" s="26">
        <f t="shared" si="1"/>
        <v>8.8235294117647065E-2</v>
      </c>
      <c r="M13" s="27"/>
      <c r="N13" s="30">
        <v>1</v>
      </c>
      <c r="O13" s="31">
        <v>0.33333333333333331</v>
      </c>
      <c r="P13" s="30">
        <v>5</v>
      </c>
      <c r="Q13" s="31">
        <v>1.25</v>
      </c>
      <c r="R13" s="30">
        <v>3</v>
      </c>
      <c r="S13" s="31">
        <v>8.8235294117647065E-2</v>
      </c>
      <c r="T13" s="30">
        <f t="shared" si="2"/>
        <v>9</v>
      </c>
    </row>
    <row r="14" spans="1:20" ht="27.95" customHeight="1">
      <c r="A14" s="22">
        <v>12</v>
      </c>
      <c r="B14" s="23" t="s">
        <v>28</v>
      </c>
      <c r="C14" s="24">
        <f>VLOOKUP(B14,'[1]export - 2026-04-25T055159.564 '!$A$1:$B$35,2,0)</f>
        <v>33</v>
      </c>
      <c r="D14" s="25">
        <f>VLOOKUP(B14,weeks!F$2:N65,2,0)</f>
        <v>0</v>
      </c>
      <c r="E14" s="25">
        <f>VLOOKUP(B14,weeks!F$2:N65,3,0)</f>
        <v>0</v>
      </c>
      <c r="F14" s="25">
        <f>VLOOKUP(B14,weeks!F$2:N65,4,0)</f>
        <v>0</v>
      </c>
      <c r="G14" s="25">
        <f>VLOOKUP(B14,weeks!F$2:N65,5,0)</f>
        <v>0</v>
      </c>
      <c r="H14" s="25">
        <f>VLOOKUP(B14,weeks!F$2:N65,6,0)</f>
        <v>0</v>
      </c>
      <c r="I14" s="25">
        <f>VLOOKUP(B14,weeks!F$2:N65,7,0)</f>
        <v>0</v>
      </c>
      <c r="J14" s="25">
        <f>VLOOKUP(B14,weeks!F$2:N65,8,0)</f>
        <v>0</v>
      </c>
      <c r="K14" s="25">
        <f t="shared" si="0"/>
        <v>0</v>
      </c>
      <c r="L14" s="26">
        <f t="shared" si="1"/>
        <v>0</v>
      </c>
      <c r="M14" s="27"/>
      <c r="N14" s="30">
        <v>6</v>
      </c>
      <c r="O14" s="31">
        <v>3</v>
      </c>
      <c r="P14" s="30">
        <v>3</v>
      </c>
      <c r="Q14" s="31">
        <v>1.5</v>
      </c>
      <c r="R14" s="30">
        <v>0</v>
      </c>
      <c r="S14" s="31">
        <v>0</v>
      </c>
      <c r="T14" s="30">
        <f t="shared" si="2"/>
        <v>9</v>
      </c>
    </row>
    <row r="15" spans="1:20" ht="27.95" customHeight="1">
      <c r="A15" s="22">
        <v>13</v>
      </c>
      <c r="B15" s="23" t="s">
        <v>69</v>
      </c>
      <c r="C15" s="24">
        <f>VLOOKUP(B15,'[1]export - 2026-04-25T055159.564 '!$A$1:$B$35,2,0)</f>
        <v>3</v>
      </c>
      <c r="D15" s="25">
        <f>VLOOKUP(B15,weeks!F$2:N68,2,0)</f>
        <v>0</v>
      </c>
      <c r="E15" s="25">
        <f>VLOOKUP(B15,weeks!F$2:N68,3,0)</f>
        <v>0</v>
      </c>
      <c r="F15" s="25">
        <f>VLOOKUP(B15,weeks!F$2:N68,4,0)</f>
        <v>0</v>
      </c>
      <c r="G15" s="25">
        <f>VLOOKUP(B15,weeks!F$2:N68,5,0)</f>
        <v>0</v>
      </c>
      <c r="H15" s="25">
        <f>VLOOKUP(B15,weeks!F$2:N68,6,0)</f>
        <v>0</v>
      </c>
      <c r="I15" s="25">
        <f>VLOOKUP(B15,weeks!F$2:N68,7,0)</f>
        <v>0</v>
      </c>
      <c r="J15" s="25">
        <f>VLOOKUP(B15,weeks!F$2:N68,8,0)</f>
        <v>0</v>
      </c>
      <c r="K15" s="25">
        <f t="shared" si="0"/>
        <v>0</v>
      </c>
      <c r="L15" s="26">
        <v>0</v>
      </c>
      <c r="M15" s="27"/>
      <c r="N15" s="30">
        <v>2</v>
      </c>
      <c r="O15" s="31">
        <v>0</v>
      </c>
      <c r="P15" s="30">
        <v>7</v>
      </c>
      <c r="Q15" s="31">
        <v>0</v>
      </c>
      <c r="R15" s="30">
        <v>0</v>
      </c>
      <c r="S15" s="31">
        <v>0</v>
      </c>
      <c r="T15" s="30">
        <f t="shared" si="2"/>
        <v>9</v>
      </c>
    </row>
    <row r="16" spans="1:20" ht="27.95" customHeight="1">
      <c r="A16" s="22">
        <v>14</v>
      </c>
      <c r="B16" s="23" t="s">
        <v>75</v>
      </c>
      <c r="C16" s="24">
        <f>VLOOKUP(B16,'[1]export - 2026-04-25T055159.564 '!$A$1:$B$35,2,0)</f>
        <v>20</v>
      </c>
      <c r="D16" s="25">
        <f>VLOOKUP(B16,weeks!F$2:N56,2,0)</f>
        <v>0</v>
      </c>
      <c r="E16" s="25">
        <f>VLOOKUP(B16,weeks!F$2:N56,3,0)</f>
        <v>0</v>
      </c>
      <c r="F16" s="25">
        <f>VLOOKUP(B16,weeks!F$2:N56,4,0)</f>
        <v>0</v>
      </c>
      <c r="G16" s="25">
        <f>VLOOKUP(B16,weeks!F$2:N56,5,0)</f>
        <v>0</v>
      </c>
      <c r="H16" s="25">
        <f>VLOOKUP(B16,weeks!F$2:N56,6,0)</f>
        <v>0</v>
      </c>
      <c r="I16" s="25">
        <f>VLOOKUP(B16,weeks!F$2:N56,7,0)</f>
        <v>0</v>
      </c>
      <c r="J16" s="25">
        <f>VLOOKUP(B16,weeks!F$2:N56,8,0)</f>
        <v>2</v>
      </c>
      <c r="K16" s="25">
        <f t="shared" si="0"/>
        <v>2</v>
      </c>
      <c r="L16" s="26">
        <f t="shared" ref="L16:L36" si="3">K16/C16</f>
        <v>0.1</v>
      </c>
      <c r="M16" s="27"/>
      <c r="N16" s="30">
        <v>3</v>
      </c>
      <c r="O16" s="31">
        <v>0.5</v>
      </c>
      <c r="P16" s="30">
        <v>2</v>
      </c>
      <c r="Q16" s="31">
        <v>0.66666666666666663</v>
      </c>
      <c r="R16" s="30">
        <v>2</v>
      </c>
      <c r="S16" s="31">
        <v>0.1</v>
      </c>
      <c r="T16" s="30">
        <f t="shared" si="2"/>
        <v>7</v>
      </c>
    </row>
    <row r="17" spans="1:20" ht="27.95" customHeight="1">
      <c r="A17" s="22">
        <v>15</v>
      </c>
      <c r="B17" s="23" t="s">
        <v>65</v>
      </c>
      <c r="C17" s="24">
        <f>VLOOKUP(B17,'[1]export - 2026-04-25T055159.564 '!$A$1:$B$35,2,0)</f>
        <v>13</v>
      </c>
      <c r="D17" s="25">
        <f>VLOOKUP(B17,weeks!F$2:N55,2,0)</f>
        <v>0</v>
      </c>
      <c r="E17" s="25">
        <f>VLOOKUP(B17,weeks!F$2:N55,3,0)</f>
        <v>0</v>
      </c>
      <c r="F17" s="25">
        <f>VLOOKUP(B17,weeks!F$2:N55,4,0)</f>
        <v>0</v>
      </c>
      <c r="G17" s="25">
        <f>VLOOKUP(B17,weeks!F$2:N55,5,0)</f>
        <v>0</v>
      </c>
      <c r="H17" s="25">
        <f>VLOOKUP(B17,weeks!F$2:N55,6,0)</f>
        <v>0</v>
      </c>
      <c r="I17" s="25">
        <f>VLOOKUP(B17,weeks!F$2:N55,7,0)</f>
        <v>0</v>
      </c>
      <c r="J17" s="25">
        <f>VLOOKUP(B17,weeks!F$2:N55,8,0)</f>
        <v>0</v>
      </c>
      <c r="K17" s="25">
        <f t="shared" si="0"/>
        <v>0</v>
      </c>
      <c r="L17" s="26">
        <f t="shared" si="3"/>
        <v>0</v>
      </c>
      <c r="M17" s="27"/>
      <c r="N17" s="30">
        <v>5</v>
      </c>
      <c r="O17" s="31" t="e">
        <v>#N/A</v>
      </c>
      <c r="P17" s="30">
        <v>0</v>
      </c>
      <c r="Q17" s="31" t="e">
        <v>#N/A</v>
      </c>
      <c r="R17" s="30">
        <v>0</v>
      </c>
      <c r="S17" s="31">
        <v>0</v>
      </c>
      <c r="T17" s="30">
        <f t="shared" si="2"/>
        <v>5</v>
      </c>
    </row>
    <row r="18" spans="1:20" ht="27.95" customHeight="1">
      <c r="A18" s="22">
        <v>16</v>
      </c>
      <c r="B18" s="23" t="s">
        <v>38</v>
      </c>
      <c r="C18" s="24">
        <f>VLOOKUP(B18,'[1]export - 2026-04-25T055159.564 '!$A$1:$B$35,2,0)</f>
        <v>13</v>
      </c>
      <c r="D18" s="25">
        <f>VLOOKUP(B18,weeks!F$2:N45,2,0)</f>
        <v>0</v>
      </c>
      <c r="E18" s="25">
        <f>VLOOKUP(B18,weeks!F$2:N45,3,0)</f>
        <v>0</v>
      </c>
      <c r="F18" s="25">
        <f>VLOOKUP(B18,weeks!F$2:N45,4,0)</f>
        <v>0</v>
      </c>
      <c r="G18" s="25">
        <f>VLOOKUP(B18,weeks!F$2:N45,5,0)</f>
        <v>0</v>
      </c>
      <c r="H18" s="25">
        <f>VLOOKUP(B18,weeks!F$2:N45,6,0)</f>
        <v>0</v>
      </c>
      <c r="I18" s="25">
        <f>VLOOKUP(B18,weeks!F$2:N45,7,0)</f>
        <v>0</v>
      </c>
      <c r="J18" s="25">
        <f>VLOOKUP(B18,weeks!F$2:N45,8,0)</f>
        <v>0</v>
      </c>
      <c r="K18" s="25">
        <f t="shared" si="0"/>
        <v>0</v>
      </c>
      <c r="L18" s="26">
        <f t="shared" si="3"/>
        <v>0</v>
      </c>
      <c r="M18" s="27"/>
      <c r="N18" s="30">
        <v>0</v>
      </c>
      <c r="O18" s="31">
        <v>0</v>
      </c>
      <c r="P18" s="30">
        <v>4</v>
      </c>
      <c r="Q18" s="31" t="e">
        <v>#DIV/0!</v>
      </c>
      <c r="R18" s="30">
        <v>0</v>
      </c>
      <c r="S18" s="31">
        <v>0</v>
      </c>
      <c r="T18" s="30">
        <f t="shared" si="2"/>
        <v>4</v>
      </c>
    </row>
    <row r="19" spans="1:20" ht="27.95" customHeight="1">
      <c r="A19" s="22">
        <v>17</v>
      </c>
      <c r="B19" s="23" t="s">
        <v>58</v>
      </c>
      <c r="C19" s="24">
        <f>VLOOKUP(B19,'[1]export - 2026-04-25T055159.564 '!$A$1:$B$35,2,0)</f>
        <v>22</v>
      </c>
      <c r="D19" s="25">
        <f>VLOOKUP(B19,weeks!F$2:N51,2,0)</f>
        <v>1</v>
      </c>
      <c r="E19" s="25">
        <f>VLOOKUP(B19,weeks!F$2:N51,3,0)</f>
        <v>1</v>
      </c>
      <c r="F19" s="25">
        <f>VLOOKUP(B19,weeks!F$2:N51,4,0)</f>
        <v>0</v>
      </c>
      <c r="G19" s="25">
        <f>VLOOKUP(B19,weeks!F$2:N51,5,0)</f>
        <v>0</v>
      </c>
      <c r="H19" s="25">
        <f>VLOOKUP(B19,weeks!F$2:N51,6,0)</f>
        <v>0</v>
      </c>
      <c r="I19" s="25">
        <f>VLOOKUP(B19,weeks!F$2:N51,7,0)</f>
        <v>0</v>
      </c>
      <c r="J19" s="25">
        <f>VLOOKUP(B19,weeks!F$2:N51,8,0)</f>
        <v>0</v>
      </c>
      <c r="K19" s="25">
        <f t="shared" si="0"/>
        <v>2</v>
      </c>
      <c r="L19" s="26">
        <f t="shared" si="3"/>
        <v>9.0909090909090912E-2</v>
      </c>
      <c r="M19" s="27"/>
      <c r="N19" s="30">
        <v>0</v>
      </c>
      <c r="O19" s="31">
        <v>0</v>
      </c>
      <c r="P19" s="30">
        <v>2</v>
      </c>
      <c r="Q19" s="31">
        <v>2</v>
      </c>
      <c r="R19" s="30">
        <v>2</v>
      </c>
      <c r="S19" s="31">
        <v>9.0909090909090912E-2</v>
      </c>
      <c r="T19" s="30">
        <f t="shared" si="2"/>
        <v>4</v>
      </c>
    </row>
    <row r="20" spans="1:20" ht="27.95" customHeight="1">
      <c r="A20" s="22">
        <v>18</v>
      </c>
      <c r="B20" s="23" t="s">
        <v>60</v>
      </c>
      <c r="C20" s="24">
        <f>VLOOKUP(B20,'[1]export - 2026-04-25T055159.564 '!$A$1:$B$35,2,0)</f>
        <v>19</v>
      </c>
      <c r="D20" s="25">
        <f>VLOOKUP(B20,weeks!F$2:N59,2,0)</f>
        <v>0</v>
      </c>
      <c r="E20" s="25">
        <f>VLOOKUP(B20,weeks!F$2:N59,3,0)</f>
        <v>0</v>
      </c>
      <c r="F20" s="25">
        <f>VLOOKUP(B20,weeks!F$2:N59,4,0)</f>
        <v>0</v>
      </c>
      <c r="G20" s="25">
        <f>VLOOKUP(B20,weeks!F$2:N59,5,0)</f>
        <v>0</v>
      </c>
      <c r="H20" s="25">
        <f>VLOOKUP(B20,weeks!F$2:N59,6,0)</f>
        <v>0</v>
      </c>
      <c r="I20" s="25">
        <f>VLOOKUP(B20,weeks!F$2:N59,7,0)</f>
        <v>0</v>
      </c>
      <c r="J20" s="25">
        <f>VLOOKUP(B20,weeks!F$2:N59,8,0)</f>
        <v>0</v>
      </c>
      <c r="K20" s="25">
        <f t="shared" si="0"/>
        <v>0</v>
      </c>
      <c r="L20" s="26">
        <f t="shared" si="3"/>
        <v>0</v>
      </c>
      <c r="M20" s="27"/>
      <c r="N20" s="30">
        <v>3</v>
      </c>
      <c r="O20" s="31" t="e">
        <v>#DIV/0!</v>
      </c>
      <c r="P20" s="30">
        <v>0</v>
      </c>
      <c r="Q20" s="31">
        <v>0</v>
      </c>
      <c r="R20" s="30">
        <v>0</v>
      </c>
      <c r="S20" s="31">
        <v>0</v>
      </c>
      <c r="T20" s="30">
        <f t="shared" si="2"/>
        <v>3</v>
      </c>
    </row>
    <row r="21" spans="1:20" ht="27.95" customHeight="1">
      <c r="A21" s="22">
        <v>19</v>
      </c>
      <c r="B21" s="23" t="s">
        <v>37</v>
      </c>
      <c r="C21" s="24">
        <f>VLOOKUP(B21,'[1]export - 2026-04-25T055159.564 '!$A$1:$B$35,2,0)</f>
        <v>18</v>
      </c>
      <c r="D21" s="25">
        <f>VLOOKUP(B21,weeks!F$2:N63,2,0)</f>
        <v>1</v>
      </c>
      <c r="E21" s="25">
        <f>VLOOKUP(B21,weeks!F$2:N63,3,0)</f>
        <v>0</v>
      </c>
      <c r="F21" s="25">
        <f>VLOOKUP(B21,weeks!F$2:N63,4,0)</f>
        <v>0</v>
      </c>
      <c r="G21" s="25">
        <f>VLOOKUP(B21,weeks!F$2:N63,5,0)</f>
        <v>0</v>
      </c>
      <c r="H21" s="25">
        <f>VLOOKUP(B21,weeks!F$2:N63,6,0)</f>
        <v>0</v>
      </c>
      <c r="I21" s="25">
        <f>VLOOKUP(B21,weeks!F$2:N63,7,0)</f>
        <v>0</v>
      </c>
      <c r="J21" s="25">
        <f>VLOOKUP(B21,weeks!F$2:N63,8,0)</f>
        <v>0</v>
      </c>
      <c r="K21" s="25">
        <f t="shared" si="0"/>
        <v>1</v>
      </c>
      <c r="L21" s="26">
        <f t="shared" si="3"/>
        <v>5.5555555555555552E-2</v>
      </c>
      <c r="M21" s="27"/>
      <c r="N21" s="30">
        <v>1</v>
      </c>
      <c r="O21" s="31">
        <v>0.5</v>
      </c>
      <c r="P21" s="30">
        <v>1</v>
      </c>
      <c r="Q21" s="31">
        <v>1</v>
      </c>
      <c r="R21" s="30">
        <v>1</v>
      </c>
      <c r="S21" s="31">
        <v>5.5555555555555552E-2</v>
      </c>
      <c r="T21" s="30">
        <f t="shared" si="2"/>
        <v>3</v>
      </c>
    </row>
    <row r="22" spans="1:20" ht="27.95" customHeight="1">
      <c r="A22" s="22">
        <v>20</v>
      </c>
      <c r="B22" s="23" t="s">
        <v>74</v>
      </c>
      <c r="C22" s="24">
        <f>VLOOKUP(B22,'[1]export - 2026-04-25T055159.564 '!$A$1:$B$35,2,0)</f>
        <v>32</v>
      </c>
      <c r="D22" s="25">
        <f>VLOOKUP(B22,weeks!F$2:N69,2,0)</f>
        <v>0</v>
      </c>
      <c r="E22" s="25">
        <f>VLOOKUP(B22,weeks!F$2:N69,3,0)</f>
        <v>0</v>
      </c>
      <c r="F22" s="25">
        <f>VLOOKUP(B22,weeks!F$2:N69,4,0)</f>
        <v>0</v>
      </c>
      <c r="G22" s="25">
        <f>VLOOKUP(B22,weeks!F$2:N69,5,0)</f>
        <v>0</v>
      </c>
      <c r="H22" s="25">
        <f>VLOOKUP(B22,weeks!F$2:N69,6,0)</f>
        <v>0</v>
      </c>
      <c r="I22" s="25">
        <f>VLOOKUP(B22,weeks!F$2:N69,7,0)</f>
        <v>0</v>
      </c>
      <c r="J22" s="25">
        <f>VLOOKUP(B22,weeks!F$2:N69,8,0)</f>
        <v>0</v>
      </c>
      <c r="K22" s="25">
        <f t="shared" si="0"/>
        <v>0</v>
      </c>
      <c r="L22" s="26">
        <f t="shared" si="3"/>
        <v>0</v>
      </c>
      <c r="M22" s="27"/>
      <c r="N22" s="30">
        <v>0</v>
      </c>
      <c r="O22" s="31">
        <v>0</v>
      </c>
      <c r="P22" s="30">
        <v>3</v>
      </c>
      <c r="Q22" s="31">
        <v>3</v>
      </c>
      <c r="R22" s="30">
        <v>0</v>
      </c>
      <c r="S22" s="31">
        <v>0</v>
      </c>
      <c r="T22" s="30">
        <f t="shared" si="2"/>
        <v>3</v>
      </c>
    </row>
    <row r="23" spans="1:20" ht="27.95" customHeight="1">
      <c r="A23" s="22">
        <v>21</v>
      </c>
      <c r="B23" s="23" t="s">
        <v>71</v>
      </c>
      <c r="C23" s="24">
        <f>VLOOKUP(B23,'[1]export - 2026-04-25T055159.564 '!$A$1:$B$35,2,0)</f>
        <v>31</v>
      </c>
      <c r="D23" s="25">
        <f>VLOOKUP(B23,weeks!F$2:N53,2,0)</f>
        <v>0</v>
      </c>
      <c r="E23" s="25">
        <f>VLOOKUP(B23,weeks!F$2:N53,3,0)</f>
        <v>0</v>
      </c>
      <c r="F23" s="25">
        <f>VLOOKUP(B23,weeks!F$2:N53,4,0)</f>
        <v>0</v>
      </c>
      <c r="G23" s="25">
        <f>VLOOKUP(B23,weeks!F$2:N53,5,0)</f>
        <v>0</v>
      </c>
      <c r="H23" s="25">
        <f>VLOOKUP(B23,weeks!F$2:N53,6,0)</f>
        <v>0</v>
      </c>
      <c r="I23" s="25">
        <f>VLOOKUP(B23,weeks!F$2:N53,7,0)</f>
        <v>0</v>
      </c>
      <c r="J23" s="25">
        <f>VLOOKUP(B23,weeks!F$2:N53,8,0)</f>
        <v>0</v>
      </c>
      <c r="K23" s="25">
        <f t="shared" si="0"/>
        <v>0</v>
      </c>
      <c r="L23" s="26">
        <f t="shared" si="3"/>
        <v>0</v>
      </c>
      <c r="M23" s="27"/>
      <c r="N23" s="30">
        <v>1</v>
      </c>
      <c r="O23" s="31">
        <v>7.6923076923076927E-2</v>
      </c>
      <c r="P23" s="30">
        <v>1</v>
      </c>
      <c r="Q23" s="31">
        <v>0.16666666666666666</v>
      </c>
      <c r="R23" s="30">
        <v>0</v>
      </c>
      <c r="S23" s="31">
        <v>0</v>
      </c>
      <c r="T23" s="30">
        <f t="shared" si="2"/>
        <v>2</v>
      </c>
    </row>
    <row r="24" spans="1:20" ht="27.95" customHeight="1">
      <c r="A24" s="22">
        <v>22</v>
      </c>
      <c r="B24" s="23" t="s">
        <v>43</v>
      </c>
      <c r="C24" s="24">
        <f>VLOOKUP(B24,'[1]export - 2026-04-25T055159.564 '!$A$1:$B$35,2,0)</f>
        <v>32</v>
      </c>
      <c r="D24" s="25">
        <f>VLOOKUP(B24,weeks!F$2:N64,2,0)</f>
        <v>0</v>
      </c>
      <c r="E24" s="25">
        <f>VLOOKUP(B24,weeks!F$2:N64,3,0)</f>
        <v>0</v>
      </c>
      <c r="F24" s="25">
        <f>VLOOKUP(B24,weeks!F$2:N64,4,0)</f>
        <v>0</v>
      </c>
      <c r="G24" s="25">
        <f>VLOOKUP(B24,weeks!F$2:N64,5,0)</f>
        <v>1</v>
      </c>
      <c r="H24" s="25">
        <f>VLOOKUP(B24,weeks!F$2:N64,6,0)</f>
        <v>0</v>
      </c>
      <c r="I24" s="25">
        <f>VLOOKUP(B24,weeks!F$2:N64,7,0)</f>
        <v>0</v>
      </c>
      <c r="J24" s="25">
        <f>VLOOKUP(B24,weeks!F$2:N64,8,0)</f>
        <v>0</v>
      </c>
      <c r="K24" s="25">
        <f t="shared" si="0"/>
        <v>1</v>
      </c>
      <c r="L24" s="26">
        <f t="shared" si="3"/>
        <v>3.125E-2</v>
      </c>
      <c r="M24" s="27"/>
      <c r="N24" s="30">
        <v>1</v>
      </c>
      <c r="O24" s="31">
        <v>0.33333333333333331</v>
      </c>
      <c r="P24" s="30">
        <v>0</v>
      </c>
      <c r="Q24" s="31">
        <v>0</v>
      </c>
      <c r="R24" s="30">
        <v>1</v>
      </c>
      <c r="S24" s="31">
        <v>3.125E-2</v>
      </c>
      <c r="T24" s="30">
        <f t="shared" si="2"/>
        <v>2</v>
      </c>
    </row>
    <row r="25" spans="1:20" ht="27.95" customHeight="1">
      <c r="A25" s="22">
        <v>23</v>
      </c>
      <c r="B25" s="23" t="s">
        <v>64</v>
      </c>
      <c r="C25" s="24">
        <f>VLOOKUP(B25,'[1]export - 2026-04-25T055159.564 '!$A$1:$B$35,2,0)</f>
        <v>29</v>
      </c>
      <c r="D25" s="25">
        <f>VLOOKUP(B25,weeks!F$2:N43,2,0)</f>
        <v>0</v>
      </c>
      <c r="E25" s="25">
        <f>VLOOKUP(B25,weeks!F$2:N43,3,0)</f>
        <v>0</v>
      </c>
      <c r="F25" s="25">
        <f>VLOOKUP(B25,weeks!F$2:N43,4,0)</f>
        <v>0</v>
      </c>
      <c r="G25" s="25">
        <f>VLOOKUP(B25,weeks!F$2:N43,5,0)</f>
        <v>0</v>
      </c>
      <c r="H25" s="25">
        <f>VLOOKUP(B25,weeks!F$2:N43,6,0)</f>
        <v>0</v>
      </c>
      <c r="I25" s="25">
        <f>VLOOKUP(B25,weeks!F$2:N43,7,0)</f>
        <v>0</v>
      </c>
      <c r="J25" s="25">
        <f>VLOOKUP(B25,weeks!F$2:N43,8,0)</f>
        <v>0</v>
      </c>
      <c r="K25" s="25">
        <f t="shared" si="0"/>
        <v>0</v>
      </c>
      <c r="L25" s="26">
        <f t="shared" si="3"/>
        <v>0</v>
      </c>
      <c r="M25" s="27"/>
      <c r="N25" s="30">
        <v>1</v>
      </c>
      <c r="O25" s="31">
        <v>0.5</v>
      </c>
      <c r="P25" s="30">
        <v>0</v>
      </c>
      <c r="Q25" s="31">
        <v>0</v>
      </c>
      <c r="R25" s="30">
        <v>0</v>
      </c>
      <c r="S25" s="31">
        <v>0</v>
      </c>
      <c r="T25" s="30">
        <f t="shared" si="2"/>
        <v>1</v>
      </c>
    </row>
    <row r="26" spans="1:20" ht="27.95" customHeight="1">
      <c r="A26" s="22">
        <v>24</v>
      </c>
      <c r="B26" s="23" t="s">
        <v>66</v>
      </c>
      <c r="C26" s="24">
        <f>VLOOKUP(B26,'[1]export - 2026-04-25T055159.564 '!$A$1:$B$35,2,0)</f>
        <v>21</v>
      </c>
      <c r="D26" s="25">
        <f>VLOOKUP(B26,weeks!F$2:N70,2,0)</f>
        <v>0</v>
      </c>
      <c r="E26" s="25">
        <f>VLOOKUP(B26,weeks!F$2:N70,3,0)</f>
        <v>0</v>
      </c>
      <c r="F26" s="25">
        <f>VLOOKUP(B26,weeks!F$2:N70,4,0)</f>
        <v>0</v>
      </c>
      <c r="G26" s="25">
        <f>VLOOKUP(B26,weeks!F$2:N70,5,0)</f>
        <v>0</v>
      </c>
      <c r="H26" s="25">
        <f>VLOOKUP(B26,weeks!F$2:N70,6,0)</f>
        <v>0</v>
      </c>
      <c r="I26" s="25">
        <f>VLOOKUP(B26,weeks!F$2:N70,7,0)</f>
        <v>0</v>
      </c>
      <c r="J26" s="25">
        <f>VLOOKUP(B26,weeks!F$2:N70,8,0)</f>
        <v>0</v>
      </c>
      <c r="K26" s="25">
        <f t="shared" si="0"/>
        <v>0</v>
      </c>
      <c r="L26" s="26">
        <f t="shared" si="3"/>
        <v>0</v>
      </c>
      <c r="M26" s="27"/>
      <c r="N26" s="30">
        <v>1</v>
      </c>
      <c r="O26" s="31">
        <v>0.25</v>
      </c>
      <c r="P26" s="30">
        <v>0</v>
      </c>
      <c r="Q26" s="31">
        <v>0</v>
      </c>
      <c r="R26" s="30">
        <v>0</v>
      </c>
      <c r="S26" s="31">
        <v>0</v>
      </c>
      <c r="T26" s="30">
        <f t="shared" si="2"/>
        <v>1</v>
      </c>
    </row>
    <row r="27" spans="1:20" ht="27.95" customHeight="1">
      <c r="A27" s="22">
        <v>25</v>
      </c>
      <c r="B27" s="23" t="s">
        <v>40</v>
      </c>
      <c r="C27" s="24">
        <f>VLOOKUP(B27,'[1]export - 2026-04-25T055159.564 '!$A$1:$B$35,2,0)</f>
        <v>20</v>
      </c>
      <c r="D27" s="25">
        <f>VLOOKUP(B27,weeks!F$2:N42,2,0)</f>
        <v>0</v>
      </c>
      <c r="E27" s="25">
        <f>VLOOKUP(B27,weeks!F$2:N42,3,0)</f>
        <v>0</v>
      </c>
      <c r="F27" s="25">
        <f>VLOOKUP(B27,weeks!F$2:N42,4,0)</f>
        <v>0</v>
      </c>
      <c r="G27" s="25">
        <f>VLOOKUP(B27,weeks!F$2:N42,5,0)</f>
        <v>0</v>
      </c>
      <c r="H27" s="25">
        <f>VLOOKUP(B27,weeks!F$2:N42,6,0)</f>
        <v>0</v>
      </c>
      <c r="I27" s="25">
        <f>VLOOKUP(B27,weeks!F$2:N42,7,0)</f>
        <v>0</v>
      </c>
      <c r="J27" s="25">
        <f>VLOOKUP(B27,weeks!F$2:N42,8,0)</f>
        <v>0</v>
      </c>
      <c r="K27" s="25">
        <f t="shared" si="0"/>
        <v>0</v>
      </c>
      <c r="L27" s="26">
        <f t="shared" si="3"/>
        <v>0</v>
      </c>
      <c r="M27" s="27"/>
      <c r="N27" s="30">
        <v>0</v>
      </c>
      <c r="O27" s="31">
        <v>0</v>
      </c>
      <c r="P27" s="30">
        <v>0</v>
      </c>
      <c r="Q27" s="31">
        <v>0</v>
      </c>
      <c r="R27" s="30">
        <v>0</v>
      </c>
      <c r="S27" s="31">
        <v>0</v>
      </c>
      <c r="T27" s="30">
        <f t="shared" si="2"/>
        <v>0</v>
      </c>
    </row>
    <row r="28" spans="1:20" ht="27.95" customHeight="1">
      <c r="A28" s="22">
        <v>26</v>
      </c>
      <c r="B28" s="23" t="s">
        <v>35</v>
      </c>
      <c r="C28" s="24">
        <f>VLOOKUP(B28,'[1]export - 2026-04-25T055159.564 '!$A$1:$B$35,2,0)</f>
        <v>25</v>
      </c>
      <c r="D28" s="25">
        <f>VLOOKUP(B28,weeks!F$2:N52,2,0)</f>
        <v>0</v>
      </c>
      <c r="E28" s="25">
        <f>VLOOKUP(B28,weeks!F$2:N52,3,0)</f>
        <v>0</v>
      </c>
      <c r="F28" s="25">
        <f>VLOOKUP(B28,weeks!F$2:N52,4,0)</f>
        <v>0</v>
      </c>
      <c r="G28" s="25">
        <f>VLOOKUP(B28,weeks!F$2:N52,5,0)</f>
        <v>0</v>
      </c>
      <c r="H28" s="25">
        <f>VLOOKUP(B28,weeks!F$2:N52,6,0)</f>
        <v>0</v>
      </c>
      <c r="I28" s="25">
        <f>VLOOKUP(B28,weeks!F$2:N52,7,0)</f>
        <v>0</v>
      </c>
      <c r="J28" s="25">
        <f>VLOOKUP(B28,weeks!F$2:N52,8,0)</f>
        <v>0</v>
      </c>
      <c r="K28" s="25">
        <f t="shared" si="0"/>
        <v>0</v>
      </c>
      <c r="L28" s="26">
        <f t="shared" si="3"/>
        <v>0</v>
      </c>
      <c r="M28" s="27"/>
      <c r="N28" s="30">
        <v>0</v>
      </c>
      <c r="O28" s="31">
        <v>0</v>
      </c>
      <c r="P28" s="30">
        <v>0</v>
      </c>
      <c r="Q28" s="31">
        <v>0</v>
      </c>
      <c r="R28" s="30">
        <v>0</v>
      </c>
      <c r="S28" s="31">
        <v>0</v>
      </c>
      <c r="T28" s="30">
        <f t="shared" si="2"/>
        <v>0</v>
      </c>
    </row>
    <row r="29" spans="1:20" ht="27.95" customHeight="1">
      <c r="A29" s="22">
        <v>27</v>
      </c>
      <c r="B29" s="23" t="s">
        <v>42</v>
      </c>
      <c r="C29" s="24">
        <f>VLOOKUP(B29,'[1]export - 2026-04-25T055159.564 '!$A$1:$B$35,2,0)</f>
        <v>17</v>
      </c>
      <c r="D29" s="25">
        <f>VLOOKUP(B29,weeks!F$2:N57,2,0)</f>
        <v>0</v>
      </c>
      <c r="E29" s="25">
        <f>VLOOKUP(B29,weeks!F$2:N57,3,0)</f>
        <v>0</v>
      </c>
      <c r="F29" s="25">
        <f>VLOOKUP(B29,weeks!F$2:N57,4,0)</f>
        <v>0</v>
      </c>
      <c r="G29" s="25">
        <f>VLOOKUP(B29,weeks!F$2:N57,5,0)</f>
        <v>0</v>
      </c>
      <c r="H29" s="25">
        <f>VLOOKUP(B29,weeks!F$2:N57,6,0)</f>
        <v>0</v>
      </c>
      <c r="I29" s="25">
        <f>VLOOKUP(B29,weeks!F$2:N57,7,0)</f>
        <v>0</v>
      </c>
      <c r="J29" s="25">
        <f>VLOOKUP(B29,weeks!F$2:N57,8,0)</f>
        <v>0</v>
      </c>
      <c r="K29" s="25">
        <f t="shared" si="0"/>
        <v>0</v>
      </c>
      <c r="L29" s="26">
        <f t="shared" si="3"/>
        <v>0</v>
      </c>
      <c r="M29" s="27"/>
      <c r="N29" s="30">
        <v>0</v>
      </c>
      <c r="O29" s="31" t="e">
        <v>#DIV/0!</v>
      </c>
      <c r="P29" s="30">
        <v>0</v>
      </c>
      <c r="Q29" s="31">
        <v>0</v>
      </c>
      <c r="R29" s="30">
        <v>0</v>
      </c>
      <c r="S29" s="31">
        <v>0</v>
      </c>
      <c r="T29" s="30">
        <f t="shared" si="2"/>
        <v>0</v>
      </c>
    </row>
    <row r="30" spans="1:20" ht="27.95" customHeight="1">
      <c r="A30" s="22">
        <v>28</v>
      </c>
      <c r="B30" s="23" t="s">
        <v>59</v>
      </c>
      <c r="C30" s="24">
        <f>VLOOKUP(B30,'[1]export - 2026-04-25T055159.564 '!$A$1:$B$35,2,0)</f>
        <v>13</v>
      </c>
      <c r="D30" s="25">
        <f>VLOOKUP(B30,weeks!F$2:N58,2,0)</f>
        <v>0</v>
      </c>
      <c r="E30" s="25">
        <f>VLOOKUP(B30,weeks!F$2:N58,3,0)</f>
        <v>0</v>
      </c>
      <c r="F30" s="25">
        <f>VLOOKUP(B30,weeks!F$2:N58,4,0)</f>
        <v>0</v>
      </c>
      <c r="G30" s="25">
        <f>VLOOKUP(B30,weeks!F$2:N58,5,0)</f>
        <v>0</v>
      </c>
      <c r="H30" s="25">
        <f>VLOOKUP(B30,weeks!F$2:N58,6,0)</f>
        <v>0</v>
      </c>
      <c r="I30" s="25">
        <f>VLOOKUP(B30,weeks!F$2:N58,7,0)</f>
        <v>0</v>
      </c>
      <c r="J30" s="25">
        <f>VLOOKUP(B30,weeks!F$2:N58,8,0)</f>
        <v>0</v>
      </c>
      <c r="K30" s="25">
        <f t="shared" si="0"/>
        <v>0</v>
      </c>
      <c r="L30" s="26">
        <f t="shared" si="3"/>
        <v>0</v>
      </c>
      <c r="M30" s="27"/>
      <c r="N30" s="30">
        <v>0</v>
      </c>
      <c r="O30" s="31" t="e">
        <v>#N/A</v>
      </c>
      <c r="P30" s="30">
        <v>0</v>
      </c>
      <c r="Q30" s="31">
        <v>0</v>
      </c>
      <c r="R30" s="30">
        <v>0</v>
      </c>
      <c r="S30" s="31">
        <v>0</v>
      </c>
      <c r="T30" s="30">
        <f t="shared" si="2"/>
        <v>0</v>
      </c>
    </row>
    <row r="31" spans="1:20" ht="27.95" customHeight="1">
      <c r="A31" s="22">
        <v>29</v>
      </c>
      <c r="B31" s="23" t="s">
        <v>56</v>
      </c>
      <c r="C31" s="24">
        <f>VLOOKUP(B31,'[1]export - 2026-04-25T055159.564 '!$A$1:$B$35,2,0)</f>
        <v>24</v>
      </c>
      <c r="D31" s="25">
        <f>VLOOKUP(B31,weeks!F$2:N60,2,0)</f>
        <v>0</v>
      </c>
      <c r="E31" s="25">
        <f>VLOOKUP(B31,weeks!F$2:N60,3,0)</f>
        <v>0</v>
      </c>
      <c r="F31" s="25">
        <f>VLOOKUP(B31,weeks!F$2:N60,4,0)</f>
        <v>0</v>
      </c>
      <c r="G31" s="25">
        <f>VLOOKUP(B31,weeks!F$2:N60,5,0)</f>
        <v>0</v>
      </c>
      <c r="H31" s="25">
        <f>VLOOKUP(B31,weeks!F$2:N60,6,0)</f>
        <v>0</v>
      </c>
      <c r="I31" s="25">
        <f>VLOOKUP(B31,weeks!F$2:N60,7,0)</f>
        <v>0</v>
      </c>
      <c r="J31" s="25">
        <f>VLOOKUP(B31,weeks!F$2:N60,8,0)</f>
        <v>0</v>
      </c>
      <c r="K31" s="25">
        <f t="shared" si="0"/>
        <v>0</v>
      </c>
      <c r="L31" s="26">
        <f t="shared" si="3"/>
        <v>0</v>
      </c>
      <c r="M31" s="27"/>
      <c r="N31" s="30">
        <v>0</v>
      </c>
      <c r="O31" s="31">
        <v>0</v>
      </c>
      <c r="P31" s="30">
        <v>0</v>
      </c>
      <c r="Q31" s="31">
        <v>0</v>
      </c>
      <c r="R31" s="30">
        <v>0</v>
      </c>
      <c r="S31" s="31">
        <v>0</v>
      </c>
      <c r="T31" s="30">
        <f t="shared" si="2"/>
        <v>0</v>
      </c>
    </row>
    <row r="32" spans="1:20" ht="27.95" customHeight="1">
      <c r="A32" s="22">
        <v>30</v>
      </c>
      <c r="B32" s="23" t="s">
        <v>29</v>
      </c>
      <c r="C32" s="24">
        <f>VLOOKUP(B32,'[1]export - 2026-04-25T055159.564 '!$A$1:$B$35,2,0)</f>
        <v>6</v>
      </c>
      <c r="D32" s="25">
        <f>VLOOKUP(B32,weeks!F$2:N61,2,0)</f>
        <v>0</v>
      </c>
      <c r="E32" s="25">
        <f>VLOOKUP(B32,weeks!F$2:N61,3,0)</f>
        <v>0</v>
      </c>
      <c r="F32" s="25">
        <f>VLOOKUP(B32,weeks!F$2:N61,4,0)</f>
        <v>0</v>
      </c>
      <c r="G32" s="25">
        <f>VLOOKUP(B32,weeks!F$2:N61,5,0)</f>
        <v>0</v>
      </c>
      <c r="H32" s="25">
        <f>VLOOKUP(B32,weeks!F$2:N61,6,0)</f>
        <v>0</v>
      </c>
      <c r="I32" s="25">
        <f>VLOOKUP(B32,weeks!F$2:N61,7,0)</f>
        <v>0</v>
      </c>
      <c r="J32" s="25">
        <f>VLOOKUP(B32,weeks!F$2:N61,8,0)</f>
        <v>0</v>
      </c>
      <c r="K32" s="25">
        <f t="shared" si="0"/>
        <v>0</v>
      </c>
      <c r="L32" s="26">
        <f t="shared" si="3"/>
        <v>0</v>
      </c>
      <c r="M32" s="27"/>
      <c r="N32" s="30">
        <v>0</v>
      </c>
      <c r="O32" s="31">
        <v>0</v>
      </c>
      <c r="P32" s="30">
        <v>0</v>
      </c>
      <c r="Q32" s="31">
        <v>0</v>
      </c>
      <c r="R32" s="30">
        <v>0</v>
      </c>
      <c r="S32" s="31">
        <v>0</v>
      </c>
      <c r="T32" s="30">
        <f t="shared" si="2"/>
        <v>0</v>
      </c>
    </row>
    <row r="33" spans="1:20" ht="27.95" customHeight="1">
      <c r="A33" s="22">
        <v>31</v>
      </c>
      <c r="B33" s="23" t="s">
        <v>55</v>
      </c>
      <c r="C33" s="24">
        <f>VLOOKUP(B33,'[1]export - 2026-04-25T055159.564 '!$A$1:$B$35,2,0)</f>
        <v>17</v>
      </c>
      <c r="D33" s="25">
        <f>VLOOKUP(B33,weeks!F$2:N67,2,0)</f>
        <v>0</v>
      </c>
      <c r="E33" s="25">
        <f>VLOOKUP(B33,weeks!F$2:N67,3,0)</f>
        <v>0</v>
      </c>
      <c r="F33" s="25">
        <f>VLOOKUP(B33,weeks!F$2:N67,4,0)</f>
        <v>0</v>
      </c>
      <c r="G33" s="25">
        <f>VLOOKUP(B33,weeks!F$2:N67,5,0)</f>
        <v>0</v>
      </c>
      <c r="H33" s="25">
        <f>VLOOKUP(B33,weeks!F$2:N67,6,0)</f>
        <v>0</v>
      </c>
      <c r="I33" s="25">
        <f>VLOOKUP(B33,weeks!F$2:N67,7,0)</f>
        <v>0</v>
      </c>
      <c r="J33" s="25">
        <f>VLOOKUP(B33,weeks!F$2:N67,8,0)</f>
        <v>0</v>
      </c>
      <c r="K33" s="25">
        <f t="shared" si="0"/>
        <v>0</v>
      </c>
      <c r="L33" s="26">
        <f t="shared" si="3"/>
        <v>0</v>
      </c>
      <c r="M33" s="27"/>
      <c r="N33" s="30">
        <v>0</v>
      </c>
      <c r="O33" s="31">
        <v>0</v>
      </c>
      <c r="P33" s="30">
        <v>0</v>
      </c>
      <c r="Q33" s="31" t="e">
        <v>#DIV/0!</v>
      </c>
      <c r="R33" s="30">
        <v>0</v>
      </c>
      <c r="S33" s="31">
        <v>0</v>
      </c>
      <c r="T33" s="30">
        <f t="shared" si="2"/>
        <v>0</v>
      </c>
    </row>
    <row r="34" spans="1:20" ht="27.95" customHeight="1">
      <c r="A34" s="22">
        <v>32</v>
      </c>
      <c r="B34" s="23" t="s">
        <v>73</v>
      </c>
      <c r="C34" s="24" t="e">
        <f>VLOOKUP(B34,'[1]export - 2026-04-25T055159.564 '!$A$1:$B$35,2,0)</f>
        <v>#N/A</v>
      </c>
      <c r="D34" s="25">
        <f>VLOOKUP(B34,weeks!F$2:N71,2,0)</f>
        <v>0</v>
      </c>
      <c r="E34" s="25">
        <f>VLOOKUP(B34,weeks!F$2:N71,3,0)</f>
        <v>0</v>
      </c>
      <c r="F34" s="25">
        <f>VLOOKUP(B34,weeks!F$2:N71,4,0)</f>
        <v>0</v>
      </c>
      <c r="G34" s="25">
        <f>VLOOKUP(B34,weeks!F$2:N71,5,0)</f>
        <v>0</v>
      </c>
      <c r="H34" s="25">
        <f>VLOOKUP(B34,weeks!F$2:N71,6,0)</f>
        <v>0</v>
      </c>
      <c r="I34" s="25">
        <f>VLOOKUP(B34,weeks!F$2:N71,7,0)</f>
        <v>0</v>
      </c>
      <c r="J34" s="25">
        <f>VLOOKUP(B34,weeks!F$2:N71,8,0)</f>
        <v>0</v>
      </c>
      <c r="K34" s="25">
        <f t="shared" si="0"/>
        <v>0</v>
      </c>
      <c r="L34" s="26" t="e">
        <f t="shared" si="3"/>
        <v>#N/A</v>
      </c>
      <c r="M34" s="27"/>
      <c r="N34" s="30">
        <v>0</v>
      </c>
      <c r="O34" s="31">
        <v>0</v>
      </c>
      <c r="P34" s="30">
        <v>0</v>
      </c>
      <c r="Q34" s="31">
        <v>0</v>
      </c>
      <c r="R34" s="30">
        <v>0</v>
      </c>
      <c r="S34" s="31" t="e">
        <v>#N/A</v>
      </c>
      <c r="T34" s="30">
        <f t="shared" si="2"/>
        <v>0</v>
      </c>
    </row>
    <row r="35" spans="1:20" ht="27.95" customHeight="1">
      <c r="A35" s="22">
        <v>33</v>
      </c>
      <c r="B35" s="23" t="s">
        <v>41</v>
      </c>
      <c r="C35" s="24">
        <f>VLOOKUP(B35,'[1]export - 2026-04-25T055159.564 '!$A$1:$B$35,2,0)</f>
        <v>21</v>
      </c>
      <c r="D35" s="25">
        <f>VLOOKUP(B35,weeks!F$2:N72,2,0)</f>
        <v>0</v>
      </c>
      <c r="E35" s="25">
        <f>VLOOKUP(B35,weeks!F$2:N72,3,0)</f>
        <v>0</v>
      </c>
      <c r="F35" s="25">
        <f>VLOOKUP(B35,weeks!F$2:N72,4,0)</f>
        <v>0</v>
      </c>
      <c r="G35" s="25">
        <f>VLOOKUP(B35,weeks!F$2:N72,5,0)</f>
        <v>0</v>
      </c>
      <c r="H35" s="25">
        <f>VLOOKUP(B35,weeks!F$2:N72,6,0)</f>
        <v>0</v>
      </c>
      <c r="I35" s="25">
        <f>VLOOKUP(B35,weeks!F$2:N72,7,0)</f>
        <v>0</v>
      </c>
      <c r="J35" s="25">
        <f>VLOOKUP(B35,weeks!F$2:N72,8,0)</f>
        <v>0</v>
      </c>
      <c r="K35" s="25">
        <f t="shared" si="0"/>
        <v>0</v>
      </c>
      <c r="L35" s="26">
        <f t="shared" si="3"/>
        <v>0</v>
      </c>
      <c r="M35" s="27"/>
      <c r="N35" s="30">
        <v>0</v>
      </c>
      <c r="O35" s="31">
        <v>0</v>
      </c>
      <c r="P35" s="30">
        <v>0</v>
      </c>
      <c r="Q35" s="31">
        <v>0</v>
      </c>
      <c r="R35" s="30">
        <v>0</v>
      </c>
      <c r="S35" s="31">
        <v>0</v>
      </c>
      <c r="T35" s="30">
        <f t="shared" si="2"/>
        <v>0</v>
      </c>
    </row>
    <row r="36" spans="1:20" ht="27.95" customHeight="1">
      <c r="A36" s="22">
        <v>34</v>
      </c>
      <c r="B36" s="23" t="s">
        <v>76</v>
      </c>
      <c r="C36" s="24">
        <f>VLOOKUP(B36,'[1]export - 2026-04-25T055159.564 '!$A$1:$B$35,2,0)</f>
        <v>27</v>
      </c>
      <c r="D36" s="25">
        <f>VLOOKUP(B36,weeks!F$2:N73,2,0)</f>
        <v>0</v>
      </c>
      <c r="E36" s="25">
        <f>VLOOKUP(B36,weeks!F$2:N73,3,0)</f>
        <v>0</v>
      </c>
      <c r="F36" s="25">
        <f>VLOOKUP(B36,weeks!F$2:N73,4,0)</f>
        <v>0</v>
      </c>
      <c r="G36" s="25">
        <f>VLOOKUP(B36,weeks!F$2:N73,5,0)</f>
        <v>0</v>
      </c>
      <c r="H36" s="25">
        <f>VLOOKUP(B36,weeks!F$2:N73,6,0)</f>
        <v>0</v>
      </c>
      <c r="I36" s="25">
        <f>VLOOKUP(B36,weeks!F$2:N73,7,0)</f>
        <v>0</v>
      </c>
      <c r="J36" s="25">
        <f>VLOOKUP(B36,weeks!F$2:N73,8,0)</f>
        <v>0</v>
      </c>
      <c r="K36" s="25">
        <f t="shared" si="0"/>
        <v>0</v>
      </c>
      <c r="L36" s="26">
        <f t="shared" si="3"/>
        <v>0</v>
      </c>
      <c r="M36" s="27"/>
      <c r="N36" s="30">
        <v>0</v>
      </c>
      <c r="O36" s="31">
        <v>0</v>
      </c>
      <c r="P36" s="30">
        <v>0</v>
      </c>
      <c r="Q36" s="31">
        <v>0</v>
      </c>
      <c r="R36" s="30">
        <v>0</v>
      </c>
      <c r="S36" s="31">
        <v>0</v>
      </c>
      <c r="T36" s="30">
        <f t="shared" si="2"/>
        <v>0</v>
      </c>
    </row>
    <row r="37" spans="1:20" ht="20.100000000000001" customHeight="1">
      <c r="A37" s="33" t="s">
        <v>61</v>
      </c>
      <c r="B37" s="33"/>
      <c r="C37" s="23" t="e">
        <f>SUM(C3:C36)</f>
        <v>#N/A</v>
      </c>
      <c r="D37" s="22">
        <f t="shared" ref="D37:K37" si="4">SUM(D3:D36)</f>
        <v>70</v>
      </c>
      <c r="E37" s="22">
        <f t="shared" si="4"/>
        <v>43</v>
      </c>
      <c r="F37" s="22">
        <f t="shared" si="4"/>
        <v>6</v>
      </c>
      <c r="G37" s="22">
        <f t="shared" si="4"/>
        <v>1</v>
      </c>
      <c r="H37" s="22">
        <f t="shared" si="4"/>
        <v>0</v>
      </c>
      <c r="I37" s="22">
        <f t="shared" si="4"/>
        <v>0</v>
      </c>
      <c r="J37" s="22">
        <f t="shared" si="4"/>
        <v>3</v>
      </c>
      <c r="K37" s="22">
        <f t="shared" si="4"/>
        <v>123</v>
      </c>
      <c r="L37" s="26" t="e">
        <f t="shared" ref="L37" si="5">K37/C37</f>
        <v>#N/A</v>
      </c>
      <c r="M37" s="27"/>
      <c r="N37" s="22">
        <f>SUM(N3:N36)</f>
        <v>119</v>
      </c>
      <c r="O37" s="22"/>
      <c r="P37" s="22">
        <f t="shared" ref="P37:T37" si="6">SUM(P3:P36)</f>
        <v>273</v>
      </c>
      <c r="Q37" s="22" t="e">
        <f t="shared" si="6"/>
        <v>#N/A</v>
      </c>
      <c r="R37" s="22">
        <f t="shared" si="6"/>
        <v>123</v>
      </c>
      <c r="S37" s="22" t="e">
        <f t="shared" si="6"/>
        <v>#N/A</v>
      </c>
      <c r="T37" s="22">
        <f t="shared" si="6"/>
        <v>515</v>
      </c>
    </row>
    <row r="41" spans="1:20" ht="63" customHeight="1"/>
  </sheetData>
  <sortState xmlns:xlrd2="http://schemas.microsoft.com/office/spreadsheetml/2017/richdata2" ref="B3:T36">
    <sortCondition descending="1" ref="T3:T36"/>
  </sortState>
  <mergeCells count="2">
    <mergeCell ref="A37:B37"/>
    <mergeCell ref="A1:T1"/>
  </mergeCells>
  <conditionalFormatting sqref="K3:K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M3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31496062992125984" right="0.31496062992125984" top="0.35433070866141736" bottom="0.35433070866141736" header="0.31496062992125984" footer="0.31496062992125984"/>
  <pageSetup paperSize="9" scale="7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37507-A59D-4288-8475-970692BA01FC}">
  <dimension ref="E1:N41"/>
  <sheetViews>
    <sheetView topLeftCell="A6" workbookViewId="0">
      <selection activeCell="F2" sqref="F2:N40"/>
    </sheetView>
  </sheetViews>
  <sheetFormatPr defaultRowHeight="15"/>
  <cols>
    <col min="6" max="6" width="40.42578125" customWidth="1"/>
  </cols>
  <sheetData>
    <row r="1" spans="5:14" ht="15.75" thickBot="1"/>
    <row r="2" spans="5:14" ht="21" thickBot="1">
      <c r="E2" s="16">
        <v>1</v>
      </c>
      <c r="F2" s="2" t="s">
        <v>42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8">
        <v>0</v>
      </c>
    </row>
    <row r="3" spans="5:14" ht="21" thickBot="1">
      <c r="E3" s="16">
        <v>2</v>
      </c>
      <c r="F3" s="2" t="s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8">
        <v>0</v>
      </c>
    </row>
    <row r="4" spans="5:14" ht="21" thickBot="1">
      <c r="E4" s="16">
        <v>3</v>
      </c>
      <c r="F4" s="2" t="s">
        <v>34</v>
      </c>
      <c r="G4" s="17">
        <v>0</v>
      </c>
      <c r="H4" s="17">
        <v>6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8">
        <v>6</v>
      </c>
    </row>
    <row r="5" spans="5:14" ht="21" thickBot="1">
      <c r="E5" s="16">
        <v>4</v>
      </c>
      <c r="F5" s="2" t="s">
        <v>54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8">
        <v>0</v>
      </c>
    </row>
    <row r="6" spans="5:14" ht="21" thickBot="1">
      <c r="E6" s="16">
        <v>5</v>
      </c>
      <c r="F6" s="2" t="s">
        <v>68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8">
        <v>0</v>
      </c>
    </row>
    <row r="7" spans="5:14" ht="21" thickBot="1">
      <c r="E7" s="16">
        <v>6</v>
      </c>
      <c r="F7" s="2" t="s">
        <v>22</v>
      </c>
      <c r="G7" s="17">
        <v>9</v>
      </c>
      <c r="H7" s="17">
        <v>0</v>
      </c>
      <c r="I7" s="17">
        <v>4</v>
      </c>
      <c r="J7" s="17">
        <v>0</v>
      </c>
      <c r="K7" s="17">
        <v>0</v>
      </c>
      <c r="L7" s="17">
        <v>0</v>
      </c>
      <c r="M7" s="17">
        <v>1</v>
      </c>
      <c r="N7" s="18">
        <v>14</v>
      </c>
    </row>
    <row r="8" spans="5:14" ht="21" thickBot="1">
      <c r="E8" s="16">
        <v>7</v>
      </c>
      <c r="F8" s="2" t="s">
        <v>71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8">
        <v>0</v>
      </c>
    </row>
    <row r="9" spans="5:14" ht="21" thickBot="1">
      <c r="E9" s="16">
        <v>8</v>
      </c>
      <c r="F9" s="2" t="s">
        <v>37</v>
      </c>
      <c r="G9" s="17">
        <v>1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8">
        <v>1</v>
      </c>
    </row>
    <row r="10" spans="5:14" ht="21" thickBot="1">
      <c r="E10" s="16">
        <v>9</v>
      </c>
      <c r="F10" s="2" t="s">
        <v>62</v>
      </c>
      <c r="G10" s="17">
        <v>31</v>
      </c>
      <c r="H10" s="17">
        <v>31</v>
      </c>
      <c r="I10" s="17">
        <v>2</v>
      </c>
      <c r="J10" s="17">
        <v>0</v>
      </c>
      <c r="K10" s="17">
        <v>0</v>
      </c>
      <c r="L10" s="17">
        <v>0</v>
      </c>
      <c r="M10" s="17">
        <v>0</v>
      </c>
      <c r="N10" s="18">
        <v>64</v>
      </c>
    </row>
    <row r="11" spans="5:14" ht="21" thickBot="1">
      <c r="E11" s="16">
        <v>10</v>
      </c>
      <c r="F11" s="2" t="s">
        <v>72</v>
      </c>
      <c r="G11" s="17">
        <v>3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8">
        <v>3</v>
      </c>
    </row>
    <row r="12" spans="5:14" ht="21" thickBot="1">
      <c r="E12" s="16">
        <v>11</v>
      </c>
      <c r="F12" s="2" t="s">
        <v>43</v>
      </c>
      <c r="G12" s="17">
        <v>0</v>
      </c>
      <c r="H12" s="17">
        <v>0</v>
      </c>
      <c r="I12" s="17">
        <v>0</v>
      </c>
      <c r="J12" s="17">
        <v>1</v>
      </c>
      <c r="K12" s="17">
        <v>0</v>
      </c>
      <c r="L12" s="17">
        <v>0</v>
      </c>
      <c r="M12" s="17">
        <v>0</v>
      </c>
      <c r="N12" s="18">
        <v>1</v>
      </c>
    </row>
    <row r="13" spans="5:14" ht="21" thickBot="1">
      <c r="E13" s="16">
        <v>12</v>
      </c>
      <c r="F13" s="2" t="s">
        <v>29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8">
        <v>0</v>
      </c>
    </row>
    <row r="14" spans="5:14" ht="21" thickBot="1">
      <c r="E14" s="16">
        <v>13</v>
      </c>
      <c r="F14" s="2" t="s">
        <v>55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8">
        <v>0</v>
      </c>
    </row>
    <row r="15" spans="5:14" ht="21" thickBot="1">
      <c r="E15" s="16">
        <v>14</v>
      </c>
      <c r="F15" s="2" t="s">
        <v>56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8">
        <v>0</v>
      </c>
    </row>
    <row r="16" spans="5:14" ht="21" thickBot="1">
      <c r="E16" s="16">
        <v>15</v>
      </c>
      <c r="F16" s="2" t="s">
        <v>57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8">
        <v>0</v>
      </c>
    </row>
    <row r="17" spans="5:14" ht="21" thickBot="1">
      <c r="E17" s="16">
        <v>16</v>
      </c>
      <c r="F17" s="2" t="s">
        <v>38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8">
        <v>0</v>
      </c>
    </row>
    <row r="18" spans="5:14" ht="21" thickBot="1">
      <c r="E18" s="16">
        <v>17</v>
      </c>
      <c r="F18" s="2" t="s">
        <v>58</v>
      </c>
      <c r="G18" s="17">
        <v>1</v>
      </c>
      <c r="H18" s="17">
        <v>1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8">
        <v>2</v>
      </c>
    </row>
    <row r="19" spans="5:14" ht="21" thickBot="1">
      <c r="E19" s="16">
        <v>18</v>
      </c>
      <c r="F19" s="2" t="s">
        <v>35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8">
        <v>0</v>
      </c>
    </row>
    <row r="20" spans="5:14" ht="21" thickBot="1">
      <c r="E20" s="16">
        <v>19</v>
      </c>
      <c r="F20" s="2" t="s">
        <v>21</v>
      </c>
      <c r="G20" s="17">
        <v>2</v>
      </c>
      <c r="H20" s="17">
        <v>5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8">
        <v>7</v>
      </c>
    </row>
    <row r="21" spans="5:14" ht="21" thickBot="1">
      <c r="E21" s="16">
        <v>20</v>
      </c>
      <c r="F21" s="2" t="s">
        <v>28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8">
        <v>0</v>
      </c>
    </row>
    <row r="22" spans="5:14" ht="21" thickBot="1">
      <c r="E22" s="16">
        <v>21</v>
      </c>
      <c r="F22" s="2" t="s">
        <v>59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8">
        <v>0</v>
      </c>
    </row>
    <row r="23" spans="5:14" ht="21" thickBot="1">
      <c r="E23" s="16">
        <v>22</v>
      </c>
      <c r="F23" s="2" t="s">
        <v>78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8">
        <v>0</v>
      </c>
    </row>
    <row r="24" spans="5:14" ht="21" thickBot="1">
      <c r="E24" s="16">
        <v>23</v>
      </c>
      <c r="F24" s="2" t="s">
        <v>40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8">
        <v>0</v>
      </c>
    </row>
    <row r="25" spans="5:14" ht="21" thickBot="1">
      <c r="E25" s="16">
        <v>24</v>
      </c>
      <c r="F25" s="2" t="s">
        <v>41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8">
        <v>0</v>
      </c>
    </row>
    <row r="26" spans="5:14" ht="21" thickBot="1">
      <c r="E26" s="16">
        <v>25</v>
      </c>
      <c r="F26" s="2" t="s">
        <v>60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8">
        <v>0</v>
      </c>
    </row>
    <row r="27" spans="5:14" ht="21" thickBot="1">
      <c r="E27" s="16">
        <v>26</v>
      </c>
      <c r="F27" s="2" t="s">
        <v>79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8">
        <v>0</v>
      </c>
    </row>
    <row r="28" spans="5:14" ht="21" thickBot="1">
      <c r="E28" s="16">
        <v>27</v>
      </c>
      <c r="F28" s="2" t="s">
        <v>80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8">
        <v>0</v>
      </c>
    </row>
    <row r="29" spans="5:14" ht="21" thickBot="1">
      <c r="E29" s="16">
        <v>28</v>
      </c>
      <c r="F29" s="2" t="s">
        <v>44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8">
        <v>0</v>
      </c>
    </row>
    <row r="30" spans="5:14" ht="21" thickBot="1">
      <c r="E30" s="16">
        <v>29</v>
      </c>
      <c r="F30" s="2" t="s">
        <v>81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8">
        <v>0</v>
      </c>
    </row>
    <row r="31" spans="5:14" ht="21" thickBot="1">
      <c r="E31" s="16">
        <v>30</v>
      </c>
      <c r="F31" s="2" t="s">
        <v>18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2</v>
      </c>
      <c r="N31" s="18">
        <v>2</v>
      </c>
    </row>
    <row r="32" spans="5:14" ht="21" thickBot="1">
      <c r="E32" s="16">
        <v>31</v>
      </c>
      <c r="F32" s="2" t="s">
        <v>82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8">
        <v>0</v>
      </c>
    </row>
    <row r="33" spans="5:14" ht="21" thickBot="1">
      <c r="E33" s="16">
        <v>32</v>
      </c>
      <c r="F33" s="2" t="s">
        <v>16</v>
      </c>
      <c r="G33" s="17">
        <v>3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8">
        <v>3</v>
      </c>
    </row>
    <row r="34" spans="5:14" ht="21" thickBot="1">
      <c r="E34" s="16">
        <v>33</v>
      </c>
      <c r="F34" s="2" t="s">
        <v>39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8">
        <v>0</v>
      </c>
    </row>
    <row r="35" spans="5:14" ht="21" thickBot="1">
      <c r="E35" s="16">
        <v>34</v>
      </c>
      <c r="F35" s="2" t="s">
        <v>1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8">
        <v>0</v>
      </c>
    </row>
    <row r="36" spans="5:14" ht="21" thickBot="1">
      <c r="E36" s="16">
        <v>35</v>
      </c>
      <c r="F36" s="2" t="s">
        <v>36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8">
        <v>0</v>
      </c>
    </row>
    <row r="37" spans="5:14" ht="21" thickBot="1">
      <c r="E37" s="16">
        <v>36</v>
      </c>
      <c r="F37" s="2" t="s">
        <v>19</v>
      </c>
      <c r="G37" s="17">
        <v>9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8">
        <v>9</v>
      </c>
    </row>
    <row r="38" spans="5:14" ht="21" thickBot="1">
      <c r="E38" s="16">
        <v>37</v>
      </c>
      <c r="F38" s="2" t="s">
        <v>45</v>
      </c>
      <c r="G38" s="17">
        <v>11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8">
        <v>11</v>
      </c>
    </row>
    <row r="39" spans="5:14" ht="21" thickBot="1">
      <c r="E39" s="16">
        <v>38</v>
      </c>
      <c r="F39" s="2" t="s">
        <v>20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8">
        <v>0</v>
      </c>
    </row>
    <row r="40" spans="5:14" ht="21" thickBot="1">
      <c r="E40" s="16">
        <v>39</v>
      </c>
      <c r="F40" s="2" t="s">
        <v>83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8">
        <v>0</v>
      </c>
    </row>
    <row r="41" spans="5:14" ht="21.75" customHeight="1" thickBot="1">
      <c r="E41" s="35" t="s">
        <v>61</v>
      </c>
      <c r="F41" s="36"/>
      <c r="G41" s="19">
        <f>SUM(G2:G40)</f>
        <v>70</v>
      </c>
      <c r="H41" s="19">
        <f t="shared" ref="H41:N41" si="0">SUM(H2:H40)</f>
        <v>43</v>
      </c>
      <c r="I41" s="19">
        <f t="shared" si="0"/>
        <v>6</v>
      </c>
      <c r="J41" s="19">
        <f t="shared" si="0"/>
        <v>1</v>
      </c>
      <c r="K41" s="19">
        <f t="shared" si="0"/>
        <v>0</v>
      </c>
      <c r="L41" s="19">
        <f t="shared" si="0"/>
        <v>0</v>
      </c>
      <c r="M41" s="19">
        <f t="shared" si="0"/>
        <v>3</v>
      </c>
      <c r="N41" s="19">
        <f t="shared" si="0"/>
        <v>123</v>
      </c>
    </row>
  </sheetData>
  <mergeCells count="1">
    <mergeCell ref="E41:F4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495E-49CA-4998-BEB3-DDCBAF14C5A9}">
  <dimension ref="C1:L42"/>
  <sheetViews>
    <sheetView topLeftCell="A23" workbookViewId="0">
      <selection activeCell="D3" sqref="D3:L41"/>
    </sheetView>
  </sheetViews>
  <sheetFormatPr defaultRowHeight="15"/>
  <cols>
    <col min="4" max="4" width="45" customWidth="1"/>
  </cols>
  <sheetData>
    <row r="1" spans="3:12">
      <c r="D1" t="s">
        <v>92</v>
      </c>
    </row>
    <row r="2" spans="3:12" ht="15.75" thickBot="1"/>
    <row r="3" spans="3:12" ht="24.95" customHeight="1" thickBot="1">
      <c r="C3" s="16">
        <v>1</v>
      </c>
      <c r="D3" s="2" t="s">
        <v>42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8">
        <v>0</v>
      </c>
    </row>
    <row r="4" spans="3:12" ht="24.95" customHeight="1" thickBot="1">
      <c r="C4" s="16">
        <v>2</v>
      </c>
      <c r="D4" s="2" t="s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8">
        <v>0</v>
      </c>
    </row>
    <row r="5" spans="3:12" ht="24.95" customHeight="1" thickBot="1">
      <c r="C5" s="16">
        <v>3</v>
      </c>
      <c r="D5" s="2" t="s">
        <v>34</v>
      </c>
      <c r="E5" s="17">
        <v>1</v>
      </c>
      <c r="F5" s="17">
        <v>1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8">
        <v>2</v>
      </c>
    </row>
    <row r="6" spans="3:12" ht="24.95" customHeight="1" thickBot="1">
      <c r="C6" s="16">
        <v>4</v>
      </c>
      <c r="D6" s="2" t="s">
        <v>54</v>
      </c>
      <c r="E6" s="17">
        <v>6</v>
      </c>
      <c r="F6" s="17">
        <v>8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8">
        <v>14</v>
      </c>
    </row>
    <row r="7" spans="3:12" ht="24.95" customHeight="1" thickBot="1">
      <c r="C7" s="16">
        <v>5</v>
      </c>
      <c r="D7" s="2" t="s">
        <v>68</v>
      </c>
      <c r="E7" s="17">
        <v>3</v>
      </c>
      <c r="F7" s="17">
        <v>15</v>
      </c>
      <c r="G7" s="17">
        <v>1</v>
      </c>
      <c r="H7" s="17">
        <v>0</v>
      </c>
      <c r="I7" s="17">
        <v>0</v>
      </c>
      <c r="J7" s="17">
        <v>0</v>
      </c>
      <c r="K7" s="17">
        <v>0</v>
      </c>
      <c r="L7" s="18">
        <v>19</v>
      </c>
    </row>
    <row r="8" spans="3:12" ht="24.95" customHeight="1" thickBot="1">
      <c r="C8" s="16">
        <v>6</v>
      </c>
      <c r="D8" s="2" t="s">
        <v>22</v>
      </c>
      <c r="E8" s="17">
        <v>13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8">
        <v>13</v>
      </c>
    </row>
    <row r="9" spans="3:12" ht="24.95" customHeight="1" thickBot="1">
      <c r="C9" s="16">
        <v>7</v>
      </c>
      <c r="D9" s="2" t="s">
        <v>71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1</v>
      </c>
      <c r="L9" s="18">
        <v>1</v>
      </c>
    </row>
    <row r="10" spans="3:12" ht="24.95" customHeight="1" thickBot="1">
      <c r="C10" s="16">
        <v>8</v>
      </c>
      <c r="D10" s="2" t="s">
        <v>37</v>
      </c>
      <c r="E10" s="17">
        <v>0</v>
      </c>
      <c r="F10" s="17">
        <v>0</v>
      </c>
      <c r="G10" s="17">
        <v>1</v>
      </c>
      <c r="H10" s="17">
        <v>0</v>
      </c>
      <c r="I10" s="17">
        <v>0</v>
      </c>
      <c r="J10" s="17">
        <v>0</v>
      </c>
      <c r="K10" s="17">
        <v>0</v>
      </c>
      <c r="L10" s="18">
        <v>1</v>
      </c>
    </row>
    <row r="11" spans="3:12" ht="24.95" customHeight="1" thickBot="1">
      <c r="C11" s="16">
        <v>9</v>
      </c>
      <c r="D11" s="2" t="s">
        <v>62</v>
      </c>
      <c r="E11" s="17">
        <v>6</v>
      </c>
      <c r="F11" s="17">
        <v>1</v>
      </c>
      <c r="G11" s="17">
        <v>1</v>
      </c>
      <c r="H11" s="17">
        <v>0</v>
      </c>
      <c r="I11" s="17">
        <v>0</v>
      </c>
      <c r="J11" s="17">
        <v>0</v>
      </c>
      <c r="K11" s="17">
        <v>0</v>
      </c>
      <c r="L11" s="18">
        <v>8</v>
      </c>
    </row>
    <row r="12" spans="3:12" ht="24.95" customHeight="1" thickBot="1">
      <c r="C12" s="16">
        <v>10</v>
      </c>
      <c r="D12" s="2" t="s">
        <v>72</v>
      </c>
      <c r="E12" s="17">
        <v>1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8">
        <v>1</v>
      </c>
    </row>
    <row r="13" spans="3:12" ht="24.95" customHeight="1" thickBot="1">
      <c r="C13" s="16">
        <v>11</v>
      </c>
      <c r="D13" s="2" t="s">
        <v>43</v>
      </c>
      <c r="E13" s="17">
        <v>0</v>
      </c>
      <c r="F13" s="17">
        <v>1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8">
        <v>1</v>
      </c>
    </row>
    <row r="14" spans="3:12" ht="24.95" customHeight="1" thickBot="1">
      <c r="C14" s="16">
        <v>12</v>
      </c>
      <c r="D14" s="2" t="s">
        <v>29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8">
        <v>0</v>
      </c>
    </row>
    <row r="15" spans="3:12" ht="24.95" customHeight="1" thickBot="1">
      <c r="C15" s="16">
        <v>13</v>
      </c>
      <c r="D15" s="2" t="s">
        <v>55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8">
        <v>0</v>
      </c>
    </row>
    <row r="16" spans="3:12" ht="24.95" customHeight="1" thickBot="1">
      <c r="C16" s="16">
        <v>14</v>
      </c>
      <c r="D16" s="2" t="s">
        <v>56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8">
        <v>0</v>
      </c>
    </row>
    <row r="17" spans="3:12" ht="24.95" customHeight="1" thickBot="1">
      <c r="C17" s="16">
        <v>15</v>
      </c>
      <c r="D17" s="2" t="s">
        <v>57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8">
        <v>0</v>
      </c>
    </row>
    <row r="18" spans="3:12" ht="24.95" customHeight="1" thickBot="1">
      <c r="C18" s="16">
        <v>16</v>
      </c>
      <c r="D18" s="2" t="s">
        <v>38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8">
        <v>0</v>
      </c>
    </row>
    <row r="19" spans="3:12" ht="24.95" customHeight="1" thickBot="1">
      <c r="C19" s="16">
        <v>17</v>
      </c>
      <c r="D19" s="2" t="s">
        <v>58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8">
        <v>0</v>
      </c>
    </row>
    <row r="20" spans="3:12" ht="24.95" customHeight="1" thickBot="1">
      <c r="C20" s="16">
        <v>18</v>
      </c>
      <c r="D20" s="2" t="s">
        <v>35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8">
        <v>0</v>
      </c>
    </row>
    <row r="21" spans="3:12" ht="24.95" customHeight="1" thickBot="1">
      <c r="C21" s="16">
        <v>19</v>
      </c>
      <c r="D21" s="2" t="s">
        <v>21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8">
        <v>0</v>
      </c>
    </row>
    <row r="22" spans="3:12" ht="24.95" customHeight="1" thickBot="1">
      <c r="C22" s="16">
        <v>20</v>
      </c>
      <c r="D22" s="2" t="s">
        <v>28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6</v>
      </c>
      <c r="L22" s="18">
        <v>6</v>
      </c>
    </row>
    <row r="23" spans="3:12" ht="24.95" customHeight="1" thickBot="1">
      <c r="C23" s="16">
        <v>21</v>
      </c>
      <c r="D23" s="2" t="s">
        <v>59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8">
        <v>0</v>
      </c>
    </row>
    <row r="24" spans="3:12" ht="24.95" customHeight="1" thickBot="1">
      <c r="C24" s="16">
        <v>22</v>
      </c>
      <c r="D24" s="2" t="s">
        <v>78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8">
        <v>0</v>
      </c>
    </row>
    <row r="25" spans="3:12" ht="24.95" customHeight="1" thickBot="1">
      <c r="C25" s="16">
        <v>23</v>
      </c>
      <c r="D25" s="2" t="s">
        <v>40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8">
        <v>0</v>
      </c>
    </row>
    <row r="26" spans="3:12" ht="24.95" customHeight="1" thickBot="1">
      <c r="C26" s="16">
        <v>24</v>
      </c>
      <c r="D26" s="2" t="s">
        <v>41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8">
        <v>0</v>
      </c>
    </row>
    <row r="27" spans="3:12" ht="24.95" customHeight="1" thickBot="1">
      <c r="C27" s="16">
        <v>25</v>
      </c>
      <c r="D27" s="2" t="s">
        <v>60</v>
      </c>
      <c r="E27" s="17">
        <v>0</v>
      </c>
      <c r="F27" s="17">
        <v>0</v>
      </c>
      <c r="G27" s="17">
        <v>0</v>
      </c>
      <c r="H27" s="17">
        <v>3</v>
      </c>
      <c r="I27" s="17">
        <v>0</v>
      </c>
      <c r="J27" s="17">
        <v>0</v>
      </c>
      <c r="K27" s="17">
        <v>0</v>
      </c>
      <c r="L27" s="18">
        <v>3</v>
      </c>
    </row>
    <row r="28" spans="3:12" ht="24.95" customHeight="1" thickBot="1">
      <c r="C28" s="16">
        <v>26</v>
      </c>
      <c r="D28" s="2" t="s">
        <v>79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8">
        <v>0</v>
      </c>
    </row>
    <row r="29" spans="3:12" ht="24.95" customHeight="1" thickBot="1">
      <c r="C29" s="16">
        <v>27</v>
      </c>
      <c r="D29" s="2" t="s">
        <v>80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8">
        <v>0</v>
      </c>
    </row>
    <row r="30" spans="3:12" ht="24.95" customHeight="1" thickBot="1">
      <c r="C30" s="16">
        <v>28</v>
      </c>
      <c r="D30" s="2" t="s">
        <v>44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8">
        <v>0</v>
      </c>
    </row>
    <row r="31" spans="3:12" ht="24.95" customHeight="1" thickBot="1">
      <c r="C31" s="16">
        <v>29</v>
      </c>
      <c r="D31" s="2" t="s">
        <v>81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8">
        <v>0</v>
      </c>
    </row>
    <row r="32" spans="3:12" ht="24.95" customHeight="1" thickBot="1">
      <c r="C32" s="16">
        <v>30</v>
      </c>
      <c r="D32" s="2" t="s">
        <v>18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3</v>
      </c>
      <c r="L32" s="18">
        <v>3</v>
      </c>
    </row>
    <row r="33" spans="3:12" ht="24.95" customHeight="1" thickBot="1">
      <c r="C33" s="16">
        <v>31</v>
      </c>
      <c r="D33" s="2" t="s">
        <v>82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8">
        <v>0</v>
      </c>
    </row>
    <row r="34" spans="3:12" ht="24.95" customHeight="1" thickBot="1">
      <c r="C34" s="16">
        <v>32</v>
      </c>
      <c r="D34" s="2" t="s">
        <v>16</v>
      </c>
      <c r="E34" s="17">
        <v>10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8</v>
      </c>
      <c r="L34" s="18">
        <v>18</v>
      </c>
    </row>
    <row r="35" spans="3:12" ht="24.95" customHeight="1" thickBot="1">
      <c r="C35" s="16">
        <v>33</v>
      </c>
      <c r="D35" s="2" t="s">
        <v>39</v>
      </c>
      <c r="E35" s="17">
        <v>0</v>
      </c>
      <c r="F35" s="17">
        <v>0</v>
      </c>
      <c r="G35" s="17">
        <v>1</v>
      </c>
      <c r="H35" s="17">
        <v>0</v>
      </c>
      <c r="I35" s="17">
        <v>0</v>
      </c>
      <c r="J35" s="17">
        <v>0</v>
      </c>
      <c r="K35" s="17">
        <v>0</v>
      </c>
      <c r="L35" s="18">
        <v>1</v>
      </c>
    </row>
    <row r="36" spans="3:12" ht="24.95" customHeight="1" thickBot="1">
      <c r="C36" s="16">
        <v>34</v>
      </c>
      <c r="D36" s="2" t="s">
        <v>1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1</v>
      </c>
      <c r="L36" s="18">
        <v>1</v>
      </c>
    </row>
    <row r="37" spans="3:12" ht="24.95" customHeight="1" thickBot="1">
      <c r="C37" s="16">
        <v>35</v>
      </c>
      <c r="D37" s="2" t="s">
        <v>36</v>
      </c>
      <c r="E37" s="17">
        <v>2</v>
      </c>
      <c r="F37" s="17">
        <v>0</v>
      </c>
      <c r="G37" s="17">
        <v>3</v>
      </c>
      <c r="H37" s="17">
        <v>0</v>
      </c>
      <c r="I37" s="17">
        <v>0</v>
      </c>
      <c r="J37" s="17">
        <v>0</v>
      </c>
      <c r="K37" s="17">
        <v>0</v>
      </c>
      <c r="L37" s="18">
        <v>5</v>
      </c>
    </row>
    <row r="38" spans="3:12" ht="24.95" customHeight="1" thickBot="1">
      <c r="C38" s="16">
        <v>36</v>
      </c>
      <c r="D38" s="2" t="s">
        <v>19</v>
      </c>
      <c r="E38" s="17">
        <v>10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8">
        <v>10</v>
      </c>
    </row>
    <row r="39" spans="3:12" ht="24.95" customHeight="1" thickBot="1">
      <c r="C39" s="16">
        <v>37</v>
      </c>
      <c r="D39" s="2" t="s">
        <v>45</v>
      </c>
      <c r="E39" s="17">
        <v>10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8">
        <v>10</v>
      </c>
    </row>
    <row r="40" spans="3:12" ht="24.95" customHeight="1" thickBot="1">
      <c r="C40" s="16">
        <v>38</v>
      </c>
      <c r="D40" s="2" t="s">
        <v>20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2</v>
      </c>
      <c r="L40" s="18">
        <v>2</v>
      </c>
    </row>
    <row r="41" spans="3:12" ht="24.95" customHeight="1" thickBot="1">
      <c r="C41" s="16">
        <v>39</v>
      </c>
      <c r="D41" s="2" t="s">
        <v>83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8">
        <v>0</v>
      </c>
    </row>
    <row r="42" spans="3:12" ht="63" customHeight="1" thickBot="1">
      <c r="C42" s="35" t="s">
        <v>61</v>
      </c>
      <c r="D42" s="36"/>
      <c r="E42" s="19">
        <v>62</v>
      </c>
      <c r="F42" s="19">
        <v>26</v>
      </c>
      <c r="G42" s="19">
        <v>7</v>
      </c>
      <c r="H42" s="19">
        <v>3</v>
      </c>
      <c r="I42" s="19">
        <v>0</v>
      </c>
      <c r="J42" s="19">
        <v>0</v>
      </c>
      <c r="K42" s="19">
        <v>21</v>
      </c>
      <c r="L42" s="19">
        <v>119</v>
      </c>
    </row>
  </sheetData>
  <mergeCells count="1">
    <mergeCell ref="C42:D4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B861-BD12-4487-A4B6-4AFFD07F1BE0}">
  <dimension ref="C2:L43"/>
  <sheetViews>
    <sheetView topLeftCell="A16" workbookViewId="0">
      <selection activeCell="D4" sqref="D4:L42"/>
    </sheetView>
  </sheetViews>
  <sheetFormatPr defaultRowHeight="15"/>
  <cols>
    <col min="4" max="4" width="47.85546875" customWidth="1"/>
  </cols>
  <sheetData>
    <row r="2" spans="3:12">
      <c r="C2" t="s">
        <v>93</v>
      </c>
    </row>
    <row r="3" spans="3:12" ht="15.75" thickBot="1"/>
    <row r="4" spans="3:12" ht="21" thickBot="1">
      <c r="C4" s="16">
        <v>1</v>
      </c>
      <c r="D4" s="2" t="s">
        <v>42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8">
        <v>0</v>
      </c>
    </row>
    <row r="5" spans="3:12" ht="21" thickBot="1">
      <c r="C5" s="16">
        <v>2</v>
      </c>
      <c r="D5" s="2" t="s">
        <v>0</v>
      </c>
      <c r="E5" s="17">
        <v>0</v>
      </c>
      <c r="F5" s="17">
        <v>9</v>
      </c>
      <c r="G5" s="17">
        <v>15</v>
      </c>
      <c r="H5" s="17">
        <v>0</v>
      </c>
      <c r="I5" s="17">
        <v>0</v>
      </c>
      <c r="J5" s="17">
        <v>0</v>
      </c>
      <c r="K5" s="17">
        <v>0</v>
      </c>
      <c r="L5" s="18">
        <v>24</v>
      </c>
    </row>
    <row r="6" spans="3:12" ht="21" thickBot="1">
      <c r="C6" s="16">
        <v>3</v>
      </c>
      <c r="D6" s="2" t="s">
        <v>34</v>
      </c>
      <c r="E6" s="17">
        <v>1</v>
      </c>
      <c r="F6" s="17">
        <v>16</v>
      </c>
      <c r="G6" s="17">
        <v>2</v>
      </c>
      <c r="H6" s="17">
        <v>0</v>
      </c>
      <c r="I6" s="17">
        <v>0</v>
      </c>
      <c r="J6" s="17">
        <v>0</v>
      </c>
      <c r="K6" s="17">
        <v>0</v>
      </c>
      <c r="L6" s="18">
        <v>19</v>
      </c>
    </row>
    <row r="7" spans="3:12" ht="21" thickBot="1">
      <c r="C7" s="16">
        <v>4</v>
      </c>
      <c r="D7" s="2" t="s">
        <v>54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8">
        <v>0</v>
      </c>
    </row>
    <row r="8" spans="3:12" ht="21" thickBot="1">
      <c r="C8" s="16">
        <v>5</v>
      </c>
      <c r="D8" s="2" t="s">
        <v>68</v>
      </c>
      <c r="E8" s="17">
        <v>0</v>
      </c>
      <c r="F8" s="17">
        <v>4</v>
      </c>
      <c r="G8" s="17">
        <v>2</v>
      </c>
      <c r="H8" s="17">
        <v>0</v>
      </c>
      <c r="I8" s="17">
        <v>0</v>
      </c>
      <c r="J8" s="17">
        <v>0</v>
      </c>
      <c r="K8" s="17">
        <v>0</v>
      </c>
      <c r="L8" s="18">
        <v>6</v>
      </c>
    </row>
    <row r="9" spans="3:12" ht="21" thickBot="1">
      <c r="C9" s="16">
        <v>6</v>
      </c>
      <c r="D9" s="2" t="s">
        <v>22</v>
      </c>
      <c r="E9" s="17">
        <v>18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8">
        <v>18</v>
      </c>
    </row>
    <row r="10" spans="3:12" ht="21" thickBot="1">
      <c r="C10" s="16">
        <v>7</v>
      </c>
      <c r="D10" s="2" t="s">
        <v>71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1</v>
      </c>
      <c r="L10" s="18">
        <v>1</v>
      </c>
    </row>
    <row r="11" spans="3:12" ht="21" thickBot="1">
      <c r="C11" s="16">
        <v>8</v>
      </c>
      <c r="D11" s="2" t="s">
        <v>37</v>
      </c>
      <c r="E11" s="17">
        <v>0</v>
      </c>
      <c r="F11" s="17">
        <v>0</v>
      </c>
      <c r="G11" s="17">
        <v>1</v>
      </c>
      <c r="H11" s="17">
        <v>0</v>
      </c>
      <c r="I11" s="17">
        <v>0</v>
      </c>
      <c r="J11" s="17">
        <v>0</v>
      </c>
      <c r="K11" s="17">
        <v>0</v>
      </c>
      <c r="L11" s="18">
        <v>1</v>
      </c>
    </row>
    <row r="12" spans="3:12" ht="21" thickBot="1">
      <c r="C12" s="16">
        <v>9</v>
      </c>
      <c r="D12" s="2" t="s">
        <v>62</v>
      </c>
      <c r="E12" s="17">
        <v>82</v>
      </c>
      <c r="F12" s="17">
        <v>11</v>
      </c>
      <c r="G12" s="17">
        <v>3</v>
      </c>
      <c r="H12" s="17">
        <v>0</v>
      </c>
      <c r="I12" s="17">
        <v>0</v>
      </c>
      <c r="J12" s="17">
        <v>0</v>
      </c>
      <c r="K12" s="17">
        <v>0</v>
      </c>
      <c r="L12" s="18">
        <v>96</v>
      </c>
    </row>
    <row r="13" spans="3:12" ht="21" thickBot="1">
      <c r="C13" s="16">
        <v>10</v>
      </c>
      <c r="D13" s="2" t="s">
        <v>72</v>
      </c>
      <c r="E13" s="17">
        <v>5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8">
        <v>5</v>
      </c>
    </row>
    <row r="14" spans="3:12" ht="21" thickBot="1">
      <c r="C14" s="16">
        <v>11</v>
      </c>
      <c r="D14" s="2" t="s">
        <v>43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8">
        <v>0</v>
      </c>
    </row>
    <row r="15" spans="3:12" ht="21" thickBot="1">
      <c r="C15" s="16">
        <v>12</v>
      </c>
      <c r="D15" s="2" t="s">
        <v>29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8">
        <v>0</v>
      </c>
    </row>
    <row r="16" spans="3:12" ht="21" thickBot="1">
      <c r="C16" s="16">
        <v>13</v>
      </c>
      <c r="D16" s="2" t="s">
        <v>55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8">
        <v>0</v>
      </c>
    </row>
    <row r="17" spans="3:12" ht="21" thickBot="1">
      <c r="C17" s="16">
        <v>14</v>
      </c>
      <c r="D17" s="2" t="s">
        <v>56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8">
        <v>0</v>
      </c>
    </row>
    <row r="18" spans="3:12" ht="21" thickBot="1">
      <c r="C18" s="16">
        <v>15</v>
      </c>
      <c r="D18" s="2" t="s">
        <v>57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8">
        <v>0</v>
      </c>
    </row>
    <row r="19" spans="3:12" ht="21" thickBot="1">
      <c r="C19" s="16">
        <v>16</v>
      </c>
      <c r="D19" s="2" t="s">
        <v>38</v>
      </c>
      <c r="E19" s="17">
        <v>3</v>
      </c>
      <c r="F19" s="17">
        <v>0</v>
      </c>
      <c r="G19" s="17">
        <v>1</v>
      </c>
      <c r="H19" s="17">
        <v>0</v>
      </c>
      <c r="I19" s="17">
        <v>0</v>
      </c>
      <c r="J19" s="17">
        <v>0</v>
      </c>
      <c r="K19" s="17">
        <v>0</v>
      </c>
      <c r="L19" s="18">
        <v>4</v>
      </c>
    </row>
    <row r="20" spans="3:12" ht="21" thickBot="1">
      <c r="C20" s="16">
        <v>17</v>
      </c>
      <c r="D20" s="2" t="s">
        <v>58</v>
      </c>
      <c r="E20" s="17">
        <v>0</v>
      </c>
      <c r="F20" s="17">
        <v>2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8">
        <v>2</v>
      </c>
    </row>
    <row r="21" spans="3:12" ht="21" thickBot="1">
      <c r="C21" s="16">
        <v>18</v>
      </c>
      <c r="D21" s="2" t="s">
        <v>35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8">
        <v>0</v>
      </c>
    </row>
    <row r="22" spans="3:12" ht="21" thickBot="1">
      <c r="C22" s="16">
        <v>19</v>
      </c>
      <c r="D22" s="2" t="s">
        <v>21</v>
      </c>
      <c r="E22" s="17">
        <v>4</v>
      </c>
      <c r="F22" s="17">
        <v>19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8">
        <v>23</v>
      </c>
    </row>
    <row r="23" spans="3:12" ht="21" thickBot="1">
      <c r="C23" s="16">
        <v>20</v>
      </c>
      <c r="D23" s="2" t="s">
        <v>28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3</v>
      </c>
      <c r="L23" s="18">
        <v>3</v>
      </c>
    </row>
    <row r="24" spans="3:12" ht="21" thickBot="1">
      <c r="C24" s="16">
        <v>21</v>
      </c>
      <c r="D24" s="2" t="s">
        <v>59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8">
        <v>0</v>
      </c>
    </row>
    <row r="25" spans="3:12" ht="21" thickBot="1">
      <c r="C25" s="16">
        <v>22</v>
      </c>
      <c r="D25" s="2" t="s">
        <v>78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8">
        <v>0</v>
      </c>
    </row>
    <row r="26" spans="3:12" ht="21" thickBot="1">
      <c r="C26" s="16">
        <v>23</v>
      </c>
      <c r="D26" s="2" t="s">
        <v>40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8">
        <v>0</v>
      </c>
    </row>
    <row r="27" spans="3:12" ht="21" thickBot="1">
      <c r="C27" s="16">
        <v>24</v>
      </c>
      <c r="D27" s="2" t="s">
        <v>41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8">
        <v>0</v>
      </c>
    </row>
    <row r="28" spans="3:12" ht="21" thickBot="1">
      <c r="C28" s="16">
        <v>25</v>
      </c>
      <c r="D28" s="2" t="s">
        <v>60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8">
        <v>0</v>
      </c>
    </row>
    <row r="29" spans="3:12" ht="21" thickBot="1">
      <c r="C29" s="16">
        <v>26</v>
      </c>
      <c r="D29" s="2" t="s">
        <v>79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8">
        <v>0</v>
      </c>
    </row>
    <row r="30" spans="3:12" ht="21" thickBot="1">
      <c r="C30" s="16">
        <v>27</v>
      </c>
      <c r="D30" s="2" t="s">
        <v>80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8">
        <v>0</v>
      </c>
    </row>
    <row r="31" spans="3:12" ht="21" thickBot="1">
      <c r="C31" s="16">
        <v>28</v>
      </c>
      <c r="D31" s="2" t="s">
        <v>44</v>
      </c>
      <c r="E31" s="17">
        <v>0</v>
      </c>
      <c r="F31" s="17">
        <v>3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8">
        <v>3</v>
      </c>
    </row>
    <row r="32" spans="3:12" ht="21" thickBot="1">
      <c r="C32" s="16">
        <v>29</v>
      </c>
      <c r="D32" s="2" t="s">
        <v>81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8">
        <v>0</v>
      </c>
    </row>
    <row r="33" spans="3:12" ht="21" thickBot="1">
      <c r="C33" s="16">
        <v>30</v>
      </c>
      <c r="D33" s="2" t="s">
        <v>18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2</v>
      </c>
      <c r="L33" s="18">
        <v>2</v>
      </c>
    </row>
    <row r="34" spans="3:12" ht="21" thickBot="1">
      <c r="C34" s="16">
        <v>31</v>
      </c>
      <c r="D34" s="2" t="s">
        <v>82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8">
        <v>0</v>
      </c>
    </row>
    <row r="35" spans="3:12" ht="21" thickBot="1">
      <c r="C35" s="16">
        <v>32</v>
      </c>
      <c r="D35" s="2" t="s">
        <v>16</v>
      </c>
      <c r="E35" s="17">
        <v>9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10</v>
      </c>
      <c r="L35" s="18">
        <v>19</v>
      </c>
    </row>
    <row r="36" spans="3:12" ht="21" thickBot="1">
      <c r="C36" s="16">
        <v>33</v>
      </c>
      <c r="D36" s="2" t="s">
        <v>39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8">
        <v>0</v>
      </c>
    </row>
    <row r="37" spans="3:12" ht="21" thickBot="1">
      <c r="C37" s="16">
        <v>34</v>
      </c>
      <c r="D37" s="2" t="s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8">
        <v>0</v>
      </c>
    </row>
    <row r="38" spans="3:12" ht="21" thickBot="1">
      <c r="C38" s="16">
        <v>35</v>
      </c>
      <c r="D38" s="2" t="s">
        <v>36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8">
        <v>0</v>
      </c>
    </row>
    <row r="39" spans="3:12" ht="21" thickBot="1">
      <c r="C39" s="16">
        <v>36</v>
      </c>
      <c r="D39" s="2" t="s">
        <v>19</v>
      </c>
      <c r="E39" s="17">
        <v>11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8">
        <v>11</v>
      </c>
    </row>
    <row r="40" spans="3:12" ht="21" thickBot="1">
      <c r="C40" s="16">
        <v>37</v>
      </c>
      <c r="D40" s="2" t="s">
        <v>45</v>
      </c>
      <c r="E40" s="17">
        <v>21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8</v>
      </c>
      <c r="L40" s="18">
        <v>29</v>
      </c>
    </row>
    <row r="41" spans="3:12" ht="21" thickBot="1">
      <c r="C41" s="16">
        <v>38</v>
      </c>
      <c r="D41" s="2" t="s">
        <v>20</v>
      </c>
      <c r="E41" s="17">
        <v>0</v>
      </c>
      <c r="F41" s="17">
        <v>4</v>
      </c>
      <c r="G41" s="17">
        <v>0</v>
      </c>
      <c r="H41" s="17">
        <v>0</v>
      </c>
      <c r="I41" s="17">
        <v>0</v>
      </c>
      <c r="J41" s="17">
        <v>0</v>
      </c>
      <c r="K41" s="17">
        <v>3</v>
      </c>
      <c r="L41" s="18">
        <v>7</v>
      </c>
    </row>
    <row r="42" spans="3:12" ht="21" thickBot="1">
      <c r="C42" s="16">
        <v>39</v>
      </c>
      <c r="D42" s="2" t="s">
        <v>83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8">
        <v>0</v>
      </c>
    </row>
    <row r="43" spans="3:12" ht="21.75" thickBot="1">
      <c r="C43" s="35" t="s">
        <v>61</v>
      </c>
      <c r="D43" s="36"/>
      <c r="E43" s="19">
        <v>154</v>
      </c>
      <c r="F43" s="19">
        <v>68</v>
      </c>
      <c r="G43" s="19">
        <v>24</v>
      </c>
      <c r="H43" s="19">
        <v>0</v>
      </c>
      <c r="I43" s="19">
        <v>0</v>
      </c>
      <c r="J43" s="19">
        <v>0</v>
      </c>
      <c r="K43" s="19">
        <v>27</v>
      </c>
      <c r="L43" s="19">
        <v>273</v>
      </c>
    </row>
  </sheetData>
  <mergeCells count="1">
    <mergeCell ref="C43:D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CE21-6631-43BD-8992-A08C8DE104CE}">
  <dimension ref="C2:L43"/>
  <sheetViews>
    <sheetView topLeftCell="A18" workbookViewId="0">
      <selection activeCell="C4" sqref="C4:L43"/>
    </sheetView>
  </sheetViews>
  <sheetFormatPr defaultRowHeight="15"/>
  <cols>
    <col min="4" max="4" width="35.85546875" customWidth="1"/>
  </cols>
  <sheetData>
    <row r="2" spans="3:12">
      <c r="C2" t="s">
        <v>94</v>
      </c>
    </row>
    <row r="3" spans="3:12" ht="15.75" thickBot="1"/>
    <row r="4" spans="3:12" ht="21" thickBot="1">
      <c r="C4" s="16">
        <v>1</v>
      </c>
      <c r="D4" s="2" t="s">
        <v>42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8">
        <v>0</v>
      </c>
    </row>
    <row r="5" spans="3:12" ht="21" thickBot="1">
      <c r="C5" s="16">
        <v>2</v>
      </c>
      <c r="D5" s="2" t="s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8">
        <v>0</v>
      </c>
    </row>
    <row r="6" spans="3:12" ht="21" thickBot="1">
      <c r="C6" s="16">
        <v>3</v>
      </c>
      <c r="D6" s="2" t="s">
        <v>34</v>
      </c>
      <c r="E6" s="17">
        <v>0</v>
      </c>
      <c r="F6" s="17">
        <v>6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8">
        <v>6</v>
      </c>
    </row>
    <row r="7" spans="3:12" ht="21" thickBot="1">
      <c r="C7" s="16">
        <v>4</v>
      </c>
      <c r="D7" s="2" t="s">
        <v>54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8">
        <v>0</v>
      </c>
    </row>
    <row r="8" spans="3:12" ht="21" thickBot="1">
      <c r="C8" s="16">
        <v>5</v>
      </c>
      <c r="D8" s="2" t="s">
        <v>68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8">
        <v>0</v>
      </c>
    </row>
    <row r="9" spans="3:12" ht="21" thickBot="1">
      <c r="C9" s="16">
        <v>6</v>
      </c>
      <c r="D9" s="2" t="s">
        <v>22</v>
      </c>
      <c r="E9" s="17">
        <v>9</v>
      </c>
      <c r="F9" s="17">
        <v>0</v>
      </c>
      <c r="G9" s="17">
        <v>4</v>
      </c>
      <c r="H9" s="17">
        <v>0</v>
      </c>
      <c r="I9" s="17">
        <v>0</v>
      </c>
      <c r="J9" s="17">
        <v>0</v>
      </c>
      <c r="K9" s="17">
        <v>1</v>
      </c>
      <c r="L9" s="18">
        <v>14</v>
      </c>
    </row>
    <row r="10" spans="3:12" ht="21" thickBot="1">
      <c r="C10" s="16">
        <v>7</v>
      </c>
      <c r="D10" s="2" t="s">
        <v>71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8">
        <v>0</v>
      </c>
    </row>
    <row r="11" spans="3:12" ht="21" thickBot="1">
      <c r="C11" s="16">
        <v>8</v>
      </c>
      <c r="D11" s="2" t="s">
        <v>37</v>
      </c>
      <c r="E11" s="17">
        <v>1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8">
        <v>1</v>
      </c>
    </row>
    <row r="12" spans="3:12" ht="21" thickBot="1">
      <c r="C12" s="16">
        <v>9</v>
      </c>
      <c r="D12" s="2" t="s">
        <v>62</v>
      </c>
      <c r="E12" s="17">
        <v>31</v>
      </c>
      <c r="F12" s="17">
        <v>31</v>
      </c>
      <c r="G12" s="17">
        <v>2</v>
      </c>
      <c r="H12" s="17">
        <v>0</v>
      </c>
      <c r="I12" s="17">
        <v>0</v>
      </c>
      <c r="J12" s="17">
        <v>0</v>
      </c>
      <c r="K12" s="17">
        <v>0</v>
      </c>
      <c r="L12" s="18">
        <v>64</v>
      </c>
    </row>
    <row r="13" spans="3:12" ht="21" thickBot="1">
      <c r="C13" s="16">
        <v>10</v>
      </c>
      <c r="D13" s="2" t="s">
        <v>72</v>
      </c>
      <c r="E13" s="17">
        <v>3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8">
        <v>3</v>
      </c>
    </row>
    <row r="14" spans="3:12" ht="21" thickBot="1">
      <c r="C14" s="16">
        <v>11</v>
      </c>
      <c r="D14" s="2" t="s">
        <v>43</v>
      </c>
      <c r="E14" s="17">
        <v>0</v>
      </c>
      <c r="F14" s="17">
        <v>0</v>
      </c>
      <c r="G14" s="17">
        <v>0</v>
      </c>
      <c r="H14" s="17">
        <v>1</v>
      </c>
      <c r="I14" s="17">
        <v>0</v>
      </c>
      <c r="J14" s="17">
        <v>0</v>
      </c>
      <c r="K14" s="17">
        <v>0</v>
      </c>
      <c r="L14" s="18">
        <v>1</v>
      </c>
    </row>
    <row r="15" spans="3:12" ht="21" thickBot="1">
      <c r="C15" s="16">
        <v>12</v>
      </c>
      <c r="D15" s="2" t="s">
        <v>29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8">
        <v>0</v>
      </c>
    </row>
    <row r="16" spans="3:12" ht="21" thickBot="1">
      <c r="C16" s="16">
        <v>13</v>
      </c>
      <c r="D16" s="2" t="s">
        <v>55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8">
        <v>0</v>
      </c>
    </row>
    <row r="17" spans="3:12" ht="21" thickBot="1">
      <c r="C17" s="16">
        <v>14</v>
      </c>
      <c r="D17" s="2" t="s">
        <v>56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8">
        <v>0</v>
      </c>
    </row>
    <row r="18" spans="3:12" ht="41.25" thickBot="1">
      <c r="C18" s="16">
        <v>15</v>
      </c>
      <c r="D18" s="2" t="s">
        <v>57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8">
        <v>0</v>
      </c>
    </row>
    <row r="19" spans="3:12" ht="21" thickBot="1">
      <c r="C19" s="16">
        <v>16</v>
      </c>
      <c r="D19" s="2" t="s">
        <v>38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8">
        <v>0</v>
      </c>
    </row>
    <row r="20" spans="3:12" ht="21" thickBot="1">
      <c r="C20" s="16">
        <v>17</v>
      </c>
      <c r="D20" s="2" t="s">
        <v>58</v>
      </c>
      <c r="E20" s="17">
        <v>1</v>
      </c>
      <c r="F20" s="17">
        <v>1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8">
        <v>2</v>
      </c>
    </row>
    <row r="21" spans="3:12" ht="21" thickBot="1">
      <c r="C21" s="16">
        <v>18</v>
      </c>
      <c r="D21" s="2" t="s">
        <v>35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8">
        <v>0</v>
      </c>
    </row>
    <row r="22" spans="3:12" ht="21" thickBot="1">
      <c r="C22" s="16">
        <v>19</v>
      </c>
      <c r="D22" s="2" t="s">
        <v>21</v>
      </c>
      <c r="E22" s="17">
        <v>2</v>
      </c>
      <c r="F22" s="17">
        <v>5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8">
        <v>7</v>
      </c>
    </row>
    <row r="23" spans="3:12" ht="21" thickBot="1">
      <c r="C23" s="16">
        <v>20</v>
      </c>
      <c r="D23" s="2" t="s">
        <v>28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8">
        <v>0</v>
      </c>
    </row>
    <row r="24" spans="3:12" ht="21" thickBot="1">
      <c r="C24" s="16">
        <v>21</v>
      </c>
      <c r="D24" s="2" t="s">
        <v>59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8">
        <v>0</v>
      </c>
    </row>
    <row r="25" spans="3:12" ht="21" thickBot="1">
      <c r="C25" s="16">
        <v>22</v>
      </c>
      <c r="D25" s="2" t="s">
        <v>78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8">
        <v>0</v>
      </c>
    </row>
    <row r="26" spans="3:12" ht="21" thickBot="1">
      <c r="C26" s="16">
        <v>23</v>
      </c>
      <c r="D26" s="2" t="s">
        <v>40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8">
        <v>0</v>
      </c>
    </row>
    <row r="27" spans="3:12" ht="21" thickBot="1">
      <c r="C27" s="16">
        <v>24</v>
      </c>
      <c r="D27" s="2" t="s">
        <v>41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8">
        <v>0</v>
      </c>
    </row>
    <row r="28" spans="3:12" ht="21" thickBot="1">
      <c r="C28" s="16">
        <v>25</v>
      </c>
      <c r="D28" s="2" t="s">
        <v>60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8">
        <v>0</v>
      </c>
    </row>
    <row r="29" spans="3:12" ht="21" thickBot="1">
      <c r="C29" s="16">
        <v>26</v>
      </c>
      <c r="D29" s="2" t="s">
        <v>79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8">
        <v>0</v>
      </c>
    </row>
    <row r="30" spans="3:12" ht="21" thickBot="1">
      <c r="C30" s="16">
        <v>27</v>
      </c>
      <c r="D30" s="2" t="s">
        <v>80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8">
        <v>0</v>
      </c>
    </row>
    <row r="31" spans="3:12" ht="21" thickBot="1">
      <c r="C31" s="16">
        <v>28</v>
      </c>
      <c r="D31" s="2" t="s">
        <v>44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8">
        <v>0</v>
      </c>
    </row>
    <row r="32" spans="3:12" ht="21" thickBot="1">
      <c r="C32" s="16">
        <v>29</v>
      </c>
      <c r="D32" s="2" t="s">
        <v>81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8">
        <v>0</v>
      </c>
    </row>
    <row r="33" spans="3:12" ht="21" thickBot="1">
      <c r="C33" s="16">
        <v>30</v>
      </c>
      <c r="D33" s="2" t="s">
        <v>18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2</v>
      </c>
      <c r="L33" s="18">
        <v>2</v>
      </c>
    </row>
    <row r="34" spans="3:12" ht="21" thickBot="1">
      <c r="C34" s="16">
        <v>31</v>
      </c>
      <c r="D34" s="2" t="s">
        <v>82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8">
        <v>0</v>
      </c>
    </row>
    <row r="35" spans="3:12" ht="21" thickBot="1">
      <c r="C35" s="16">
        <v>32</v>
      </c>
      <c r="D35" s="2" t="s">
        <v>16</v>
      </c>
      <c r="E35" s="17">
        <v>3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8">
        <v>3</v>
      </c>
    </row>
    <row r="36" spans="3:12" ht="21" thickBot="1">
      <c r="C36" s="16">
        <v>33</v>
      </c>
      <c r="D36" s="2" t="s">
        <v>39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8">
        <v>0</v>
      </c>
    </row>
    <row r="37" spans="3:12" ht="21" thickBot="1">
      <c r="C37" s="16">
        <v>34</v>
      </c>
      <c r="D37" s="2" t="s">
        <v>1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8">
        <v>0</v>
      </c>
    </row>
    <row r="38" spans="3:12" ht="21" thickBot="1">
      <c r="C38" s="16">
        <v>35</v>
      </c>
      <c r="D38" s="2" t="s">
        <v>36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8">
        <v>0</v>
      </c>
    </row>
    <row r="39" spans="3:12" ht="21" thickBot="1">
      <c r="C39" s="16">
        <v>36</v>
      </c>
      <c r="D39" s="2" t="s">
        <v>19</v>
      </c>
      <c r="E39" s="17">
        <v>9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8">
        <v>9</v>
      </c>
    </row>
    <row r="40" spans="3:12" ht="21" thickBot="1">
      <c r="C40" s="16">
        <v>37</v>
      </c>
      <c r="D40" s="2" t="s">
        <v>45</v>
      </c>
      <c r="E40" s="17">
        <v>11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8">
        <v>11</v>
      </c>
    </row>
    <row r="41" spans="3:12" ht="21" thickBot="1">
      <c r="C41" s="16">
        <v>38</v>
      </c>
      <c r="D41" s="2" t="s">
        <v>20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8">
        <v>0</v>
      </c>
    </row>
    <row r="42" spans="3:12" ht="21" thickBot="1">
      <c r="C42" s="16">
        <v>39</v>
      </c>
      <c r="D42" s="2" t="s">
        <v>83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8">
        <v>0</v>
      </c>
    </row>
    <row r="43" spans="3:12" ht="21.75" thickBot="1">
      <c r="C43" s="35" t="s">
        <v>61</v>
      </c>
      <c r="D43" s="36"/>
      <c r="E43" s="19">
        <v>70</v>
      </c>
      <c r="F43" s="19">
        <v>43</v>
      </c>
      <c r="G43" s="19">
        <v>6</v>
      </c>
      <c r="H43" s="19">
        <v>1</v>
      </c>
      <c r="I43" s="19">
        <v>0</v>
      </c>
      <c r="J43" s="19">
        <v>0</v>
      </c>
      <c r="K43" s="19">
        <v>3</v>
      </c>
      <c r="L43" s="19">
        <v>123</v>
      </c>
    </row>
  </sheetData>
  <mergeCells count="1">
    <mergeCell ref="C43:D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Crimac</vt:lpstr>
      <vt:lpstr>ICJS</vt:lpstr>
      <vt:lpstr>Sheet1</vt:lpstr>
      <vt:lpstr>Sheet2</vt:lpstr>
      <vt:lpstr>stt</vt:lpstr>
      <vt:lpstr>weeks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 R.V</dc:creator>
  <cp:lastModifiedBy>Nagaraj R.V</cp:lastModifiedBy>
  <cp:lastPrinted>2026-06-10T00:21:58Z</cp:lastPrinted>
  <dcterms:created xsi:type="dcterms:W3CDTF">2025-12-02T05:16:36Z</dcterms:created>
  <dcterms:modified xsi:type="dcterms:W3CDTF">2026-06-10T00:33:34Z</dcterms:modified>
</cp:coreProperties>
</file>