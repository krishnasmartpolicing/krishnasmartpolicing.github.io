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G:\H Drive\2026\Files Bapu sir\DATA\"/>
    </mc:Choice>
  </mc:AlternateContent>
  <xr:revisionPtr revIDLastSave="0" documentId="8_{CBF24722-682A-4DBA-8E66-4F4623D11639}" xr6:coauthVersionLast="47" xr6:coauthVersionMax="47" xr10:uidLastSave="{00000000-0000-0000-0000-000000000000}"/>
  <bookViews>
    <workbookView xWindow="-120" yWindow="-120" windowWidth="29040" windowHeight="15720" xr2:uid="{EB0322DE-C57D-4580-9E43-9B77B104A827}"/>
  </bookViews>
  <sheets>
    <sheet name="Sheet1" sheetId="1" r:id="rId1"/>
  </sheets>
  <externalReferences>
    <externalReference r:id="rId2"/>
  </externalReferences>
  <definedNames>
    <definedName name="_xlnm.Print_Titles" localSheetId="0">Sheet1!$1:$2</definedName>
  </definedNames>
  <calcPr calcId="191029" iterateDelta="1E-4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Y36" i="1" l="1"/>
  <c r="X36" i="1"/>
  <c r="W36" i="1"/>
  <c r="V36" i="1"/>
  <c r="U36" i="1"/>
  <c r="T36" i="1"/>
  <c r="S36" i="1"/>
  <c r="R36" i="1"/>
  <c r="Q36" i="1"/>
  <c r="P36" i="1"/>
  <c r="O36" i="1"/>
  <c r="N36" i="1"/>
  <c r="M36" i="1"/>
  <c r="L36" i="1"/>
  <c r="K36" i="1"/>
  <c r="J36" i="1"/>
  <c r="I36" i="1"/>
  <c r="H36" i="1"/>
  <c r="G36" i="1"/>
  <c r="F36" i="1"/>
  <c r="E36" i="1"/>
  <c r="D36" i="1"/>
  <c r="C36" i="1"/>
  <c r="B36" i="1"/>
  <c r="Y35" i="1"/>
  <c r="X35" i="1"/>
  <c r="W35" i="1"/>
  <c r="V35" i="1"/>
  <c r="U35" i="1"/>
  <c r="T35" i="1"/>
  <c r="S35" i="1"/>
  <c r="R35" i="1"/>
  <c r="Q35" i="1"/>
  <c r="P35" i="1"/>
  <c r="O35" i="1"/>
  <c r="N35" i="1"/>
  <c r="M35" i="1"/>
  <c r="L35" i="1"/>
  <c r="K35" i="1"/>
  <c r="J35" i="1"/>
  <c r="I35" i="1"/>
  <c r="H35" i="1"/>
  <c r="G35" i="1"/>
  <c r="F35" i="1"/>
  <c r="E35" i="1"/>
  <c r="D35" i="1"/>
  <c r="C35" i="1"/>
  <c r="B35" i="1"/>
  <c r="Y34" i="1"/>
  <c r="X34" i="1"/>
  <c r="W34" i="1"/>
  <c r="V34" i="1"/>
  <c r="U34" i="1"/>
  <c r="T34" i="1"/>
  <c r="S34" i="1"/>
  <c r="R34" i="1"/>
  <c r="Q34" i="1"/>
  <c r="P34" i="1"/>
  <c r="O34" i="1"/>
  <c r="N34" i="1"/>
  <c r="M34" i="1"/>
  <c r="L34" i="1"/>
  <c r="K34" i="1"/>
  <c r="J34" i="1"/>
  <c r="I34" i="1"/>
  <c r="H34" i="1"/>
  <c r="G34" i="1"/>
  <c r="F34" i="1"/>
  <c r="E34" i="1"/>
  <c r="D34" i="1"/>
  <c r="C34" i="1"/>
  <c r="B34" i="1"/>
  <c r="Y33" i="1"/>
  <c r="X33" i="1"/>
  <c r="W33" i="1"/>
  <c r="V33" i="1"/>
  <c r="U33" i="1"/>
  <c r="T33" i="1"/>
  <c r="S33" i="1"/>
  <c r="R33" i="1"/>
  <c r="Q33" i="1"/>
  <c r="P33" i="1"/>
  <c r="O33" i="1"/>
  <c r="N33" i="1"/>
  <c r="M33" i="1"/>
  <c r="L33" i="1"/>
  <c r="K33" i="1"/>
  <c r="J33" i="1"/>
  <c r="I33" i="1"/>
  <c r="H33" i="1"/>
  <c r="G33" i="1"/>
  <c r="F33" i="1"/>
  <c r="E33" i="1"/>
  <c r="D33" i="1"/>
  <c r="C33" i="1"/>
  <c r="B33" i="1"/>
  <c r="Y32" i="1"/>
  <c r="X32" i="1"/>
  <c r="W32" i="1"/>
  <c r="V32" i="1"/>
  <c r="U32" i="1"/>
  <c r="T32" i="1"/>
  <c r="S32" i="1"/>
  <c r="R32" i="1"/>
  <c r="Q32" i="1"/>
  <c r="P32" i="1"/>
  <c r="O32" i="1"/>
  <c r="N32" i="1"/>
  <c r="M32" i="1"/>
  <c r="L32" i="1"/>
  <c r="K32" i="1"/>
  <c r="J32" i="1"/>
  <c r="I32" i="1"/>
  <c r="H32" i="1"/>
  <c r="G32" i="1"/>
  <c r="F32" i="1"/>
  <c r="E32" i="1"/>
  <c r="D32" i="1"/>
  <c r="C32" i="1"/>
  <c r="B32" i="1"/>
  <c r="Y31" i="1"/>
  <c r="X31" i="1"/>
  <c r="W31" i="1"/>
  <c r="V31" i="1"/>
  <c r="U31" i="1"/>
  <c r="T31" i="1"/>
  <c r="S31" i="1"/>
  <c r="R31" i="1"/>
  <c r="Q31" i="1"/>
  <c r="P31" i="1"/>
  <c r="O31" i="1"/>
  <c r="N31" i="1"/>
  <c r="M31" i="1"/>
  <c r="L31" i="1"/>
  <c r="K31" i="1"/>
  <c r="J31" i="1"/>
  <c r="I31" i="1"/>
  <c r="H31" i="1"/>
  <c r="G31" i="1"/>
  <c r="F31" i="1"/>
  <c r="E31" i="1"/>
  <c r="D31" i="1"/>
  <c r="C31" i="1"/>
  <c r="B31" i="1"/>
  <c r="Y30" i="1"/>
  <c r="X30" i="1"/>
  <c r="W30" i="1"/>
  <c r="V30" i="1"/>
  <c r="U30" i="1"/>
  <c r="T30" i="1"/>
  <c r="S30" i="1"/>
  <c r="R30" i="1"/>
  <c r="Q30" i="1"/>
  <c r="P30" i="1"/>
  <c r="O30" i="1"/>
  <c r="N30" i="1"/>
  <c r="M30" i="1"/>
  <c r="L30" i="1"/>
  <c r="K30" i="1"/>
  <c r="J30" i="1"/>
  <c r="I30" i="1"/>
  <c r="H30" i="1"/>
  <c r="G30" i="1"/>
  <c r="F30" i="1"/>
  <c r="E30" i="1"/>
  <c r="D30" i="1"/>
  <c r="C30" i="1"/>
  <c r="B30" i="1"/>
  <c r="Y29" i="1"/>
  <c r="X29" i="1"/>
  <c r="W29" i="1"/>
  <c r="V29" i="1"/>
  <c r="U29" i="1"/>
  <c r="T29" i="1"/>
  <c r="S29" i="1"/>
  <c r="R29" i="1"/>
  <c r="Q29" i="1"/>
  <c r="P29" i="1"/>
  <c r="O29" i="1"/>
  <c r="N29" i="1"/>
  <c r="M29" i="1"/>
  <c r="L29" i="1"/>
  <c r="K29" i="1"/>
  <c r="J29" i="1"/>
  <c r="I29" i="1"/>
  <c r="H29" i="1"/>
  <c r="G29" i="1"/>
  <c r="F29" i="1"/>
  <c r="E29" i="1"/>
  <c r="D29" i="1"/>
  <c r="C29" i="1"/>
  <c r="B29" i="1"/>
  <c r="Y28" i="1"/>
  <c r="X28" i="1"/>
  <c r="W28" i="1"/>
  <c r="V28" i="1"/>
  <c r="U28" i="1"/>
  <c r="T28" i="1"/>
  <c r="S28" i="1"/>
  <c r="R28" i="1"/>
  <c r="Q28" i="1"/>
  <c r="P28" i="1"/>
  <c r="O28" i="1"/>
  <c r="N28" i="1"/>
  <c r="M28" i="1"/>
  <c r="L28" i="1"/>
  <c r="K28" i="1"/>
  <c r="J28" i="1"/>
  <c r="I28" i="1"/>
  <c r="H28" i="1"/>
  <c r="G28" i="1"/>
  <c r="F28" i="1"/>
  <c r="E28" i="1"/>
  <c r="D28" i="1"/>
  <c r="C28" i="1"/>
  <c r="B28" i="1"/>
  <c r="Y27" i="1"/>
  <c r="X27" i="1"/>
  <c r="W27" i="1"/>
  <c r="V27" i="1"/>
  <c r="U27" i="1"/>
  <c r="T27" i="1"/>
  <c r="S27" i="1"/>
  <c r="R27" i="1"/>
  <c r="Q27" i="1"/>
  <c r="P27" i="1"/>
  <c r="O27" i="1"/>
  <c r="N27" i="1"/>
  <c r="M27" i="1"/>
  <c r="L27" i="1"/>
  <c r="K27" i="1"/>
  <c r="J27" i="1"/>
  <c r="I27" i="1"/>
  <c r="H27" i="1"/>
  <c r="G27" i="1"/>
  <c r="F27" i="1"/>
  <c r="E27" i="1"/>
  <c r="D27" i="1"/>
  <c r="C27" i="1"/>
  <c r="B27" i="1"/>
  <c r="Y26" i="1"/>
  <c r="X26" i="1"/>
  <c r="W26" i="1"/>
  <c r="V26" i="1"/>
  <c r="U26" i="1"/>
  <c r="T26" i="1"/>
  <c r="S26" i="1"/>
  <c r="R26" i="1"/>
  <c r="Q26" i="1"/>
  <c r="P26" i="1"/>
  <c r="O26" i="1"/>
  <c r="N26" i="1"/>
  <c r="M26" i="1"/>
  <c r="L26" i="1"/>
  <c r="K26" i="1"/>
  <c r="J26" i="1"/>
  <c r="I26" i="1"/>
  <c r="H26" i="1"/>
  <c r="G26" i="1"/>
  <c r="F26" i="1"/>
  <c r="E26" i="1"/>
  <c r="D26" i="1"/>
  <c r="C26" i="1"/>
  <c r="B26" i="1"/>
  <c r="Y25" i="1"/>
  <c r="X25" i="1"/>
  <c r="W25" i="1"/>
  <c r="V25" i="1"/>
  <c r="U25" i="1"/>
  <c r="T25" i="1"/>
  <c r="S25" i="1"/>
  <c r="R25" i="1"/>
  <c r="Q25" i="1"/>
  <c r="P25" i="1"/>
  <c r="O25" i="1"/>
  <c r="N25" i="1"/>
  <c r="M25" i="1"/>
  <c r="L25" i="1"/>
  <c r="K25" i="1"/>
  <c r="J25" i="1"/>
  <c r="I25" i="1"/>
  <c r="H25" i="1"/>
  <c r="G25" i="1"/>
  <c r="F25" i="1"/>
  <c r="E25" i="1"/>
  <c r="D25" i="1"/>
  <c r="C25" i="1"/>
  <c r="B25" i="1"/>
  <c r="Y24" i="1"/>
  <c r="X24" i="1"/>
  <c r="W24" i="1"/>
  <c r="V24" i="1"/>
  <c r="U24" i="1"/>
  <c r="T24" i="1"/>
  <c r="S24" i="1"/>
  <c r="R24" i="1"/>
  <c r="Q24" i="1"/>
  <c r="P24" i="1"/>
  <c r="O24" i="1"/>
  <c r="N24" i="1"/>
  <c r="M24" i="1"/>
  <c r="L24" i="1"/>
  <c r="K24" i="1"/>
  <c r="J24" i="1"/>
  <c r="I24" i="1"/>
  <c r="H24" i="1"/>
  <c r="G24" i="1"/>
  <c r="F24" i="1"/>
  <c r="E24" i="1"/>
  <c r="D24" i="1"/>
  <c r="C24" i="1"/>
  <c r="B24" i="1"/>
  <c r="Y23" i="1"/>
  <c r="X23" i="1"/>
  <c r="W23" i="1"/>
  <c r="V23" i="1"/>
  <c r="U23" i="1"/>
  <c r="T23" i="1"/>
  <c r="S23" i="1"/>
  <c r="R23" i="1"/>
  <c r="Q23" i="1"/>
  <c r="P23" i="1"/>
  <c r="O23" i="1"/>
  <c r="N23" i="1"/>
  <c r="M23" i="1"/>
  <c r="L23" i="1"/>
  <c r="K23" i="1"/>
  <c r="J23" i="1"/>
  <c r="I23" i="1"/>
  <c r="H23" i="1"/>
  <c r="G23" i="1"/>
  <c r="F23" i="1"/>
  <c r="E23" i="1"/>
  <c r="D23" i="1"/>
  <c r="C23" i="1"/>
  <c r="B23" i="1"/>
  <c r="Y22" i="1"/>
  <c r="X22" i="1"/>
  <c r="W22" i="1"/>
  <c r="V22" i="1"/>
  <c r="U22" i="1"/>
  <c r="T22" i="1"/>
  <c r="S22" i="1"/>
  <c r="R22" i="1"/>
  <c r="Q22" i="1"/>
  <c r="P22" i="1"/>
  <c r="O22" i="1"/>
  <c r="N22" i="1"/>
  <c r="M22" i="1"/>
  <c r="L22" i="1"/>
  <c r="K22" i="1"/>
  <c r="J22" i="1"/>
  <c r="I22" i="1"/>
  <c r="H22" i="1"/>
  <c r="G22" i="1"/>
  <c r="F22" i="1"/>
  <c r="E22" i="1"/>
  <c r="D22" i="1"/>
  <c r="C22" i="1"/>
  <c r="B22" i="1"/>
  <c r="Y21" i="1"/>
  <c r="X21" i="1"/>
  <c r="W21" i="1"/>
  <c r="V21" i="1"/>
  <c r="U21" i="1"/>
  <c r="T21" i="1"/>
  <c r="S21" i="1"/>
  <c r="R21" i="1"/>
  <c r="Q21" i="1"/>
  <c r="P21" i="1"/>
  <c r="O21" i="1"/>
  <c r="N21" i="1"/>
  <c r="M21" i="1"/>
  <c r="L21" i="1"/>
  <c r="K21" i="1"/>
  <c r="J21" i="1"/>
  <c r="I21" i="1"/>
  <c r="H21" i="1"/>
  <c r="G21" i="1"/>
  <c r="F21" i="1"/>
  <c r="E21" i="1"/>
  <c r="D21" i="1"/>
  <c r="C21" i="1"/>
  <c r="B21" i="1"/>
  <c r="Y20" i="1"/>
  <c r="X20" i="1"/>
  <c r="W20" i="1"/>
  <c r="V20" i="1"/>
  <c r="U20" i="1"/>
  <c r="T20" i="1"/>
  <c r="S20" i="1"/>
  <c r="R20" i="1"/>
  <c r="Q20" i="1"/>
  <c r="P20" i="1"/>
  <c r="O20" i="1"/>
  <c r="N20" i="1"/>
  <c r="M20" i="1"/>
  <c r="L20" i="1"/>
  <c r="K20" i="1"/>
  <c r="J20" i="1"/>
  <c r="I20" i="1"/>
  <c r="H20" i="1"/>
  <c r="G20" i="1"/>
  <c r="F20" i="1"/>
  <c r="E20" i="1"/>
  <c r="D20" i="1"/>
  <c r="C20" i="1"/>
  <c r="B20" i="1"/>
  <c r="Y19" i="1"/>
  <c r="X19" i="1"/>
  <c r="W19" i="1"/>
  <c r="V19" i="1"/>
  <c r="U19" i="1"/>
  <c r="T19" i="1"/>
  <c r="S19" i="1"/>
  <c r="R19" i="1"/>
  <c r="Q19" i="1"/>
  <c r="P19" i="1"/>
  <c r="O19" i="1"/>
  <c r="N19" i="1"/>
  <c r="M19" i="1"/>
  <c r="L19" i="1"/>
  <c r="K19" i="1"/>
  <c r="J19" i="1"/>
  <c r="I19" i="1"/>
  <c r="H19" i="1"/>
  <c r="G19" i="1"/>
  <c r="F19" i="1"/>
  <c r="E19" i="1"/>
  <c r="D19" i="1"/>
  <c r="C19" i="1"/>
  <c r="B19" i="1"/>
  <c r="Y18" i="1"/>
  <c r="X18" i="1"/>
  <c r="W18" i="1"/>
  <c r="V18" i="1"/>
  <c r="U18" i="1"/>
  <c r="T18" i="1"/>
  <c r="S18" i="1"/>
  <c r="R18" i="1"/>
  <c r="Q18" i="1"/>
  <c r="P18" i="1"/>
  <c r="O18" i="1"/>
  <c r="N18" i="1"/>
  <c r="M18" i="1"/>
  <c r="L18" i="1"/>
  <c r="K18" i="1"/>
  <c r="J18" i="1"/>
  <c r="I18" i="1"/>
  <c r="H18" i="1"/>
  <c r="G18" i="1"/>
  <c r="F18" i="1"/>
  <c r="E18" i="1"/>
  <c r="D18" i="1"/>
  <c r="C18" i="1"/>
  <c r="B18" i="1"/>
  <c r="Y17" i="1"/>
  <c r="X17" i="1"/>
  <c r="W17" i="1"/>
  <c r="V17" i="1"/>
  <c r="U17" i="1"/>
  <c r="T17" i="1"/>
  <c r="S17" i="1"/>
  <c r="R17" i="1"/>
  <c r="Q17" i="1"/>
  <c r="P17" i="1"/>
  <c r="O17" i="1"/>
  <c r="N17" i="1"/>
  <c r="M17" i="1"/>
  <c r="L17" i="1"/>
  <c r="K17" i="1"/>
  <c r="J17" i="1"/>
  <c r="I17" i="1"/>
  <c r="H17" i="1"/>
  <c r="G17" i="1"/>
  <c r="F17" i="1"/>
  <c r="E17" i="1"/>
  <c r="D17" i="1"/>
  <c r="C17" i="1"/>
  <c r="B17" i="1"/>
  <c r="Y16" i="1"/>
  <c r="X16" i="1"/>
  <c r="W16" i="1"/>
  <c r="V16" i="1"/>
  <c r="U16" i="1"/>
  <c r="T16" i="1"/>
  <c r="S16" i="1"/>
  <c r="R16" i="1"/>
  <c r="Q16" i="1"/>
  <c r="P16" i="1"/>
  <c r="O16" i="1"/>
  <c r="N16" i="1"/>
  <c r="M16" i="1"/>
  <c r="L16" i="1"/>
  <c r="K16" i="1"/>
  <c r="J16" i="1"/>
  <c r="I16" i="1"/>
  <c r="H16" i="1"/>
  <c r="G16" i="1"/>
  <c r="F16" i="1"/>
  <c r="E16" i="1"/>
  <c r="D16" i="1"/>
  <c r="C16" i="1"/>
  <c r="B16" i="1"/>
  <c r="Y15" i="1"/>
  <c r="X15" i="1"/>
  <c r="W15" i="1"/>
  <c r="V15" i="1"/>
  <c r="U15" i="1"/>
  <c r="T15" i="1"/>
  <c r="S15" i="1"/>
  <c r="R15" i="1"/>
  <c r="Q15" i="1"/>
  <c r="P15" i="1"/>
  <c r="O15" i="1"/>
  <c r="N15" i="1"/>
  <c r="M15" i="1"/>
  <c r="L15" i="1"/>
  <c r="K15" i="1"/>
  <c r="J15" i="1"/>
  <c r="I15" i="1"/>
  <c r="H15" i="1"/>
  <c r="G15" i="1"/>
  <c r="F15" i="1"/>
  <c r="E15" i="1"/>
  <c r="D15" i="1"/>
  <c r="C15" i="1"/>
  <c r="B15" i="1"/>
  <c r="Y14" i="1"/>
  <c r="X14" i="1"/>
  <c r="W14" i="1"/>
  <c r="V14" i="1"/>
  <c r="U14" i="1"/>
  <c r="T14" i="1"/>
  <c r="S14" i="1"/>
  <c r="R14" i="1"/>
  <c r="Q14" i="1"/>
  <c r="P14" i="1"/>
  <c r="O14" i="1"/>
  <c r="N14" i="1"/>
  <c r="M14" i="1"/>
  <c r="L14" i="1"/>
  <c r="K14" i="1"/>
  <c r="J14" i="1"/>
  <c r="I14" i="1"/>
  <c r="H14" i="1"/>
  <c r="G14" i="1"/>
  <c r="F14" i="1"/>
  <c r="E14" i="1"/>
  <c r="D14" i="1"/>
  <c r="C14" i="1"/>
  <c r="B14" i="1"/>
  <c r="Y13" i="1"/>
  <c r="X13" i="1"/>
  <c r="W13" i="1"/>
  <c r="V13" i="1"/>
  <c r="U13" i="1"/>
  <c r="T13" i="1"/>
  <c r="S13" i="1"/>
  <c r="R13" i="1"/>
  <c r="Q13" i="1"/>
  <c r="P13" i="1"/>
  <c r="O13" i="1"/>
  <c r="N13" i="1"/>
  <c r="M13" i="1"/>
  <c r="L13" i="1"/>
  <c r="K13" i="1"/>
  <c r="J13" i="1"/>
  <c r="I13" i="1"/>
  <c r="H13" i="1"/>
  <c r="G13" i="1"/>
  <c r="F13" i="1"/>
  <c r="E13" i="1"/>
  <c r="D13" i="1"/>
  <c r="C13" i="1"/>
  <c r="B13" i="1"/>
  <c r="Y12" i="1"/>
  <c r="X12" i="1"/>
  <c r="W12" i="1"/>
  <c r="V12" i="1"/>
  <c r="U12" i="1"/>
  <c r="T12" i="1"/>
  <c r="S12" i="1"/>
  <c r="R12" i="1"/>
  <c r="Q12" i="1"/>
  <c r="P12" i="1"/>
  <c r="O12" i="1"/>
  <c r="N12" i="1"/>
  <c r="M12" i="1"/>
  <c r="L12" i="1"/>
  <c r="K12" i="1"/>
  <c r="J12" i="1"/>
  <c r="I12" i="1"/>
  <c r="H12" i="1"/>
  <c r="G12" i="1"/>
  <c r="F12" i="1"/>
  <c r="E12" i="1"/>
  <c r="D12" i="1"/>
  <c r="C12" i="1"/>
  <c r="B12" i="1"/>
  <c r="Y11" i="1"/>
  <c r="X11" i="1"/>
  <c r="W11" i="1"/>
  <c r="V11" i="1"/>
  <c r="U11" i="1"/>
  <c r="T11" i="1"/>
  <c r="S11" i="1"/>
  <c r="R11" i="1"/>
  <c r="Q11" i="1"/>
  <c r="P11" i="1"/>
  <c r="O11" i="1"/>
  <c r="N11" i="1"/>
  <c r="M11" i="1"/>
  <c r="L11" i="1"/>
  <c r="K11" i="1"/>
  <c r="J11" i="1"/>
  <c r="I11" i="1"/>
  <c r="H11" i="1"/>
  <c r="G11" i="1"/>
  <c r="F11" i="1"/>
  <c r="E11" i="1"/>
  <c r="D11" i="1"/>
  <c r="C11" i="1"/>
  <c r="B11" i="1"/>
  <c r="Y10" i="1"/>
  <c r="X10" i="1"/>
  <c r="W10" i="1"/>
  <c r="V10" i="1"/>
  <c r="U10" i="1"/>
  <c r="T10" i="1"/>
  <c r="S10" i="1"/>
  <c r="R10" i="1"/>
  <c r="Q10" i="1"/>
  <c r="P10" i="1"/>
  <c r="O10" i="1"/>
  <c r="N10" i="1"/>
  <c r="M10" i="1"/>
  <c r="L10" i="1"/>
  <c r="K10" i="1"/>
  <c r="J10" i="1"/>
  <c r="I10" i="1"/>
  <c r="H10" i="1"/>
  <c r="G10" i="1"/>
  <c r="F10" i="1"/>
  <c r="E10" i="1"/>
  <c r="D10" i="1"/>
  <c r="C10" i="1"/>
  <c r="B10" i="1"/>
  <c r="Y9" i="1"/>
  <c r="X9" i="1"/>
  <c r="W9" i="1"/>
  <c r="V9" i="1"/>
  <c r="U9" i="1"/>
  <c r="T9" i="1"/>
  <c r="S9" i="1"/>
  <c r="R9" i="1"/>
  <c r="Q9" i="1"/>
  <c r="P9" i="1"/>
  <c r="O9" i="1"/>
  <c r="N9" i="1"/>
  <c r="M9" i="1"/>
  <c r="L9" i="1"/>
  <c r="K9" i="1"/>
  <c r="J9" i="1"/>
  <c r="I9" i="1"/>
  <c r="H9" i="1"/>
  <c r="G9" i="1"/>
  <c r="F9" i="1"/>
  <c r="E9" i="1"/>
  <c r="D9" i="1"/>
  <c r="C9" i="1"/>
  <c r="B9" i="1"/>
  <c r="Y8" i="1"/>
  <c r="X8" i="1"/>
  <c r="W8" i="1"/>
  <c r="V8" i="1"/>
  <c r="U8" i="1"/>
  <c r="T8" i="1"/>
  <c r="S8" i="1"/>
  <c r="R8" i="1"/>
  <c r="Q8" i="1"/>
  <c r="P8" i="1"/>
  <c r="O8" i="1"/>
  <c r="N8" i="1"/>
  <c r="M8" i="1"/>
  <c r="L8" i="1"/>
  <c r="K8" i="1"/>
  <c r="J8" i="1"/>
  <c r="I8" i="1"/>
  <c r="H8" i="1"/>
  <c r="G8" i="1"/>
  <c r="F8" i="1"/>
  <c r="E8" i="1"/>
  <c r="D8" i="1"/>
  <c r="C8" i="1"/>
  <c r="B8" i="1"/>
  <c r="Y7" i="1"/>
  <c r="X7" i="1"/>
  <c r="W7" i="1"/>
  <c r="V7" i="1"/>
  <c r="U7" i="1"/>
  <c r="T7" i="1"/>
  <c r="S7" i="1"/>
  <c r="R7" i="1"/>
  <c r="Q7" i="1"/>
  <c r="P7" i="1"/>
  <c r="O7" i="1"/>
  <c r="N7" i="1"/>
  <c r="M7" i="1"/>
  <c r="L7" i="1"/>
  <c r="K7" i="1"/>
  <c r="J7" i="1"/>
  <c r="I7" i="1"/>
  <c r="H7" i="1"/>
  <c r="G7" i="1"/>
  <c r="F7" i="1"/>
  <c r="E7" i="1"/>
  <c r="D7" i="1"/>
  <c r="C7" i="1"/>
  <c r="B7" i="1"/>
  <c r="Y6" i="1"/>
  <c r="X6" i="1"/>
  <c r="W6" i="1"/>
  <c r="V6" i="1"/>
  <c r="U6" i="1"/>
  <c r="T6" i="1"/>
  <c r="S6" i="1"/>
  <c r="R6" i="1"/>
  <c r="Q6" i="1"/>
  <c r="P6" i="1"/>
  <c r="O6" i="1"/>
  <c r="N6" i="1"/>
  <c r="M6" i="1"/>
  <c r="L6" i="1"/>
  <c r="K6" i="1"/>
  <c r="J6" i="1"/>
  <c r="I6" i="1"/>
  <c r="H6" i="1"/>
  <c r="G6" i="1"/>
  <c r="F6" i="1"/>
  <c r="E6" i="1"/>
  <c r="D6" i="1"/>
  <c r="C6" i="1"/>
  <c r="B6" i="1"/>
  <c r="Y5" i="1"/>
  <c r="X5" i="1"/>
  <c r="W5" i="1"/>
  <c r="V5" i="1"/>
  <c r="U5" i="1"/>
  <c r="T5" i="1"/>
  <c r="S5" i="1"/>
  <c r="R5" i="1"/>
  <c r="Q5" i="1"/>
  <c r="P5" i="1"/>
  <c r="O5" i="1"/>
  <c r="N5" i="1"/>
  <c r="M5" i="1"/>
  <c r="L5" i="1"/>
  <c r="K5" i="1"/>
  <c r="J5" i="1"/>
  <c r="I5" i="1"/>
  <c r="H5" i="1"/>
  <c r="G5" i="1"/>
  <c r="F5" i="1"/>
  <c r="E5" i="1"/>
  <c r="D5" i="1"/>
  <c r="C5" i="1"/>
  <c r="B5" i="1"/>
  <c r="Y4" i="1"/>
  <c r="X4" i="1"/>
  <c r="W4" i="1"/>
  <c r="V4" i="1"/>
  <c r="U4" i="1"/>
  <c r="T4" i="1"/>
  <c r="S4" i="1"/>
  <c r="R4" i="1"/>
  <c r="Q4" i="1"/>
  <c r="P4" i="1"/>
  <c r="O4" i="1"/>
  <c r="N4" i="1"/>
  <c r="M4" i="1"/>
  <c r="L4" i="1"/>
  <c r="K4" i="1"/>
  <c r="J4" i="1"/>
  <c r="I4" i="1"/>
  <c r="H4" i="1"/>
  <c r="G4" i="1"/>
  <c r="F4" i="1"/>
  <c r="E4" i="1"/>
  <c r="D4" i="1"/>
  <c r="C4" i="1"/>
  <c r="B4" i="1"/>
  <c r="Y3" i="1"/>
  <c r="X3" i="1"/>
  <c r="W3" i="1"/>
  <c r="V3" i="1"/>
  <c r="U3" i="1"/>
  <c r="T3" i="1"/>
  <c r="S3" i="1"/>
  <c r="R3" i="1"/>
  <c r="Q3" i="1"/>
  <c r="P3" i="1"/>
  <c r="O3" i="1"/>
  <c r="N3" i="1"/>
  <c r="M3" i="1"/>
  <c r="L3" i="1"/>
  <c r="K3" i="1"/>
  <c r="J3" i="1"/>
  <c r="I3" i="1"/>
  <c r="H3" i="1"/>
  <c r="G3" i="1"/>
  <c r="F3" i="1"/>
  <c r="E3" i="1"/>
  <c r="D3" i="1"/>
  <c r="C3" i="1"/>
  <c r="B3" i="1"/>
</calcChain>
</file>

<file path=xl/sharedStrings.xml><?xml version="1.0" encoding="utf-8"?>
<sst xmlns="http://schemas.openxmlformats.org/spreadsheetml/2006/main" count="60" uniqueCount="60">
  <si>
    <t>District</t>
  </si>
  <si>
    <t>MedLEaPR PME</t>
  </si>
  <si>
    <t>MedLEaPR MLC</t>
  </si>
  <si>
    <t xml:space="preserve">NATGRID </t>
  </si>
  <si>
    <t>DGP Dashboard</t>
  </si>
  <si>
    <t>CCTNS Overall</t>
  </si>
  <si>
    <t>CCTNS IIF 1-7</t>
  </si>
  <si>
    <t>CCTNS IIF 8-15</t>
  </si>
  <si>
    <t>Zero FIRs</t>
  </si>
  <si>
    <t>Citizen Portal</t>
  </si>
  <si>
    <t>eSakshya SID%</t>
  </si>
  <si>
    <t xml:space="preserve">CriMAC </t>
  </si>
  <si>
    <t>CEIR Score</t>
  </si>
  <si>
    <t>eProsecution</t>
  </si>
  <si>
    <t>FIRs &amp; CS Con</t>
  </si>
  <si>
    <t>eOffice</t>
  </si>
  <si>
    <t xml:space="preserve">APOLIS </t>
  </si>
  <si>
    <t>Drone Flying</t>
  </si>
  <si>
    <t>Dial112 Tabs</t>
  </si>
  <si>
    <t>Dial112 Resp</t>
  </si>
  <si>
    <t>CCTV360 Usage</t>
  </si>
  <si>
    <t>News360AI</t>
  </si>
  <si>
    <t>eFSL</t>
  </si>
  <si>
    <t>UC3</t>
  </si>
  <si>
    <t>UC4</t>
  </si>
  <si>
    <t>Wt →</t>
  </si>
  <si>
    <t>Nagayalanka</t>
  </si>
  <si>
    <t>Avanigadda</t>
  </si>
  <si>
    <t>Koduru</t>
  </si>
  <si>
    <t>Challapalli</t>
  </si>
  <si>
    <t>Ghantasala</t>
  </si>
  <si>
    <t>Gudivada I Town UPS</t>
  </si>
  <si>
    <t>Gudivada II Town UPS</t>
  </si>
  <si>
    <t>Nandivada</t>
  </si>
  <si>
    <t>Gudivada Rural</t>
  </si>
  <si>
    <t>Gudlavalleru</t>
  </si>
  <si>
    <t>Pedaparupudi</t>
  </si>
  <si>
    <t>Pamarru</t>
  </si>
  <si>
    <t>Kuchipudi</t>
  </si>
  <si>
    <t>Thotlavalluru</t>
  </si>
  <si>
    <t>Pamidimukkala</t>
  </si>
  <si>
    <t>Vuyyuru Town UPS</t>
  </si>
  <si>
    <t>Penamaluru UPS</t>
  </si>
  <si>
    <t>Gannavaram UPS</t>
  </si>
  <si>
    <t>Unguturu</t>
  </si>
  <si>
    <t>Hanuman Junction</t>
  </si>
  <si>
    <t>Atkuru</t>
  </si>
  <si>
    <t>Veeravalli</t>
  </si>
  <si>
    <t>Vuyyuru Rural</t>
  </si>
  <si>
    <t>Kankipadu</t>
  </si>
  <si>
    <t>Inaguduru UPS</t>
  </si>
  <si>
    <t>Chilakalapudi UPS</t>
  </si>
  <si>
    <t>Robertsonpet</t>
  </si>
  <si>
    <t>Bantumilli</t>
  </si>
  <si>
    <t>Guduru</t>
  </si>
  <si>
    <t>Pedana</t>
  </si>
  <si>
    <t>Kruthivennu</t>
  </si>
  <si>
    <t>Bandar Taluk PS</t>
  </si>
  <si>
    <t>Machilipatnam Town</t>
  </si>
  <si>
    <t>Mahila UPS, Machilipatnam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</si>
</sst>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0"/>
      <color rgb="FFFFFFFF"/>
      <name val="Segoe UI"/>
      <family val="2"/>
    </font>
    <font>
      <b/>
      <sz val="10"/>
      <color theme="0"/>
      <name val="Calibri"/>
      <family val="2"/>
      <scheme val="minor"/>
    </font>
    <font>
      <b/>
      <sz val="10"/>
      <color rgb="FF000000"/>
      <name val="Segoe UI"/>
      <family val="2"/>
    </font>
    <font>
      <b/>
      <sz val="7"/>
      <color rgb="FF000000"/>
      <name val="Segoe UI"/>
      <family val="2"/>
    </font>
    <font>
      <sz val="10"/>
      <color indexed="8"/>
      <name val="Times New Roman"/>
      <family val="1"/>
    </font>
    <font>
      <b/>
      <sz val="10"/>
      <color rgb="FF14532D"/>
      <name val="Segoe UI"/>
      <family val="2"/>
    </font>
  </fonts>
  <fills count="7">
    <fill>
      <patternFill patternType="none"/>
    </fill>
    <fill>
      <patternFill patternType="gray125"/>
    </fill>
    <fill>
      <patternFill patternType="solid">
        <fgColor rgb="FF0F2A52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 applyAlignment="1">
      <alignment horizontal="left" vertical="center" wrapText="1"/>
    </xf>
    <xf numFmtId="2" fontId="2" fillId="3" borderId="1" xfId="0" applyNumberFormat="1" applyFont="1" applyFill="1" applyBorder="1" applyAlignment="1">
      <alignment horizontal="center" textRotation="90"/>
    </xf>
    <xf numFmtId="2" fontId="2" fillId="3" borderId="1" xfId="0" applyNumberFormat="1" applyFont="1" applyFill="1" applyBorder="1" applyAlignment="1">
      <alignment horizontal="center" textRotation="90" wrapText="1"/>
    </xf>
    <xf numFmtId="0" fontId="3" fillId="4" borderId="1" xfId="0" applyFont="1" applyFill="1" applyBorder="1" applyAlignment="1">
      <alignment horizontal="left" vertical="center" wrapText="1"/>
    </xf>
    <xf numFmtId="10" fontId="4" fillId="4" borderId="1" xfId="0" applyNumberFormat="1" applyFont="1" applyFill="1" applyBorder="1" applyAlignment="1">
      <alignment horizontal="center" vertical="center" wrapText="1"/>
    </xf>
    <xf numFmtId="9" fontId="4" fillId="4" borderId="1" xfId="0" applyNumberFormat="1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vertical="center" wrapText="1"/>
    </xf>
    <xf numFmtId="2" fontId="6" fillId="6" borderId="1" xfId="0" applyNumberFormat="1" applyFont="1" applyFill="1" applyBorder="1" applyAlignment="1">
      <alignment horizontal="center" vertical="center" wrapText="1"/>
    </xf>
    <xf numFmtId="0" fontId="0" fillId="0" borderId="0" xfId="0" applyAlignment="1">
      <alignment vertical="center"/>
    </xf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H%20Drive\2026\Files%20Bapu%20sir\DATA\DATA\SMART_POLICE_RAW_DATA.xlsx" TargetMode="External"/><Relationship Id="rId1" Type="http://schemas.openxmlformats.org/officeDocument/2006/relationships/externalLinkPath" Target="DATA/SMART_POLICE_RAW_DAT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1_MEDLEAPR_PME"/>
      <sheetName val="2_MEDLEAPR_MLC"/>
      <sheetName val="3_NATGRID"/>
      <sheetName val="4_DGP_DASH"/>
      <sheetName val="5_CCTNS_TILL"/>
      <sheetName val="6_CCTNS_1_7"/>
      <sheetName val="7_CCTNS_8_15"/>
      <sheetName val="8_ZERO_FIRS"/>
      <sheetName val="9_CITIZEN_PORTAL"/>
      <sheetName val="10_ESAKSHYA"/>
      <sheetName val="11_CRIMAC"/>
      <sheetName val="12_CEIR"/>
      <sheetName val="13_EPROSEC"/>
      <sheetName val="14_FIR_CS_COURT"/>
      <sheetName val="15_EOFFICE"/>
      <sheetName val="16_APOLIS"/>
      <sheetName val="17_DRONE_FLYING"/>
      <sheetName val="18_112_TABS"/>
      <sheetName val="19_DIAL100_RES"/>
      <sheetName val="20_CCTV_360"/>
      <sheetName val="21_NEWS360AI"/>
      <sheetName val="22_eFSL"/>
      <sheetName val="23_UC3"/>
      <sheetName val="23_UC4"/>
      <sheetName val="Sheet1"/>
    </sheetNames>
    <sheetDataSet>
      <sheetData sheetId="0">
        <row r="2">
          <cell r="B2" t="str">
            <v>PS NAME</v>
          </cell>
          <cell r="C2" t="str">
            <v xml:space="preserve">Total Cases 
Reported </v>
          </cell>
          <cell r="D2" t="str">
            <v>No. of Cases
 required PME</v>
          </cell>
          <cell r="E2" t="str">
            <v>No. of Cases Requests Raised</v>
          </cell>
          <cell r="F2" t="str">
            <v>% Requests
Completed</v>
          </cell>
          <cell r="G2" t="str">
            <v>Raw Value</v>
          </cell>
          <cell r="H2" t="str">
            <v>Marks</v>
          </cell>
        </row>
        <row r="3">
          <cell r="B3" t="str">
            <v>Atkuru</v>
          </cell>
          <cell r="C3">
            <v>0</v>
          </cell>
          <cell r="D3">
            <v>0</v>
          </cell>
          <cell r="E3">
            <v>0</v>
          </cell>
          <cell r="F3" t="str">
            <v>100.00</v>
          </cell>
          <cell r="G3" t="str">
            <v>100.00</v>
          </cell>
          <cell r="H3">
            <v>2.5</v>
          </cell>
        </row>
        <row r="4">
          <cell r="B4" t="str">
            <v>Avanigadda</v>
          </cell>
          <cell r="C4">
            <v>2</v>
          </cell>
          <cell r="D4">
            <v>2</v>
          </cell>
          <cell r="E4">
            <v>2</v>
          </cell>
          <cell r="F4">
            <v>100</v>
          </cell>
          <cell r="G4">
            <v>100</v>
          </cell>
          <cell r="H4">
            <v>2.5</v>
          </cell>
        </row>
        <row r="5">
          <cell r="B5" t="str">
            <v>Bandar Taluk PS</v>
          </cell>
          <cell r="C5">
            <v>0</v>
          </cell>
          <cell r="D5">
            <v>0</v>
          </cell>
          <cell r="E5">
            <v>0</v>
          </cell>
          <cell r="F5" t="str">
            <v>100.00</v>
          </cell>
          <cell r="G5" t="str">
            <v>100.00</v>
          </cell>
          <cell r="H5">
            <v>2.5</v>
          </cell>
        </row>
        <row r="6">
          <cell r="B6" t="str">
            <v>Bantumilli</v>
          </cell>
          <cell r="C6">
            <v>0</v>
          </cell>
          <cell r="D6">
            <v>0</v>
          </cell>
          <cell r="E6">
            <v>0</v>
          </cell>
          <cell r="F6" t="str">
            <v>100.00</v>
          </cell>
          <cell r="G6" t="str">
            <v>100.00</v>
          </cell>
          <cell r="H6">
            <v>2.5</v>
          </cell>
        </row>
        <row r="7">
          <cell r="B7" t="str">
            <v>Challapalli</v>
          </cell>
          <cell r="C7">
            <v>0</v>
          </cell>
          <cell r="D7">
            <v>0</v>
          </cell>
          <cell r="E7">
            <v>0</v>
          </cell>
          <cell r="F7" t="str">
            <v>100.00</v>
          </cell>
          <cell r="G7" t="str">
            <v>100.00</v>
          </cell>
          <cell r="H7">
            <v>2.5</v>
          </cell>
        </row>
        <row r="8">
          <cell r="B8" t="str">
            <v>Chilakalapudi UPS</v>
          </cell>
          <cell r="C8">
            <v>0</v>
          </cell>
          <cell r="D8">
            <v>0</v>
          </cell>
          <cell r="E8">
            <v>0</v>
          </cell>
          <cell r="F8" t="str">
            <v>100.00</v>
          </cell>
          <cell r="G8" t="str">
            <v>100.00</v>
          </cell>
          <cell r="H8">
            <v>2.5</v>
          </cell>
        </row>
        <row r="9">
          <cell r="B9" t="str">
            <v>Gannavaram UPS</v>
          </cell>
          <cell r="C9">
            <v>3</v>
          </cell>
          <cell r="D9">
            <v>3</v>
          </cell>
          <cell r="E9">
            <v>3</v>
          </cell>
          <cell r="F9">
            <v>100</v>
          </cell>
          <cell r="G9">
            <v>100</v>
          </cell>
          <cell r="H9">
            <v>2.5</v>
          </cell>
        </row>
        <row r="10">
          <cell r="B10" t="str">
            <v>Ghantasala</v>
          </cell>
          <cell r="C10">
            <v>1</v>
          </cell>
          <cell r="D10">
            <v>1</v>
          </cell>
          <cell r="E10">
            <v>1</v>
          </cell>
          <cell r="F10">
            <v>100</v>
          </cell>
          <cell r="G10">
            <v>100</v>
          </cell>
          <cell r="H10">
            <v>2.5</v>
          </cell>
        </row>
        <row r="11">
          <cell r="B11" t="str">
            <v>Gudivada I Town UPS</v>
          </cell>
          <cell r="C11">
            <v>1</v>
          </cell>
          <cell r="D11">
            <v>1</v>
          </cell>
          <cell r="E11">
            <v>1</v>
          </cell>
          <cell r="F11">
            <v>100</v>
          </cell>
          <cell r="G11">
            <v>100</v>
          </cell>
          <cell r="H11">
            <v>2.5</v>
          </cell>
        </row>
        <row r="12">
          <cell r="B12" t="str">
            <v>Gudivada II Town UPS</v>
          </cell>
          <cell r="C12">
            <v>1</v>
          </cell>
          <cell r="D12">
            <v>1</v>
          </cell>
          <cell r="E12">
            <v>1</v>
          </cell>
          <cell r="F12">
            <v>100</v>
          </cell>
          <cell r="G12">
            <v>100</v>
          </cell>
          <cell r="H12">
            <v>2.5</v>
          </cell>
        </row>
        <row r="13">
          <cell r="B13" t="str">
            <v>Gudivada Rural</v>
          </cell>
          <cell r="C13">
            <v>1</v>
          </cell>
          <cell r="D13">
            <v>1</v>
          </cell>
          <cell r="E13">
            <v>1</v>
          </cell>
          <cell r="F13">
            <v>100</v>
          </cell>
          <cell r="G13">
            <v>100</v>
          </cell>
          <cell r="H13">
            <v>2.5</v>
          </cell>
        </row>
        <row r="14">
          <cell r="B14" t="str">
            <v>Gudlavalleru</v>
          </cell>
          <cell r="C14">
            <v>0</v>
          </cell>
          <cell r="D14">
            <v>0</v>
          </cell>
          <cell r="E14">
            <v>0</v>
          </cell>
          <cell r="F14" t="str">
            <v>100.00</v>
          </cell>
          <cell r="G14" t="str">
            <v>100.00</v>
          </cell>
          <cell r="H14">
            <v>2.5</v>
          </cell>
        </row>
        <row r="15">
          <cell r="B15" t="str">
            <v>Guduru</v>
          </cell>
          <cell r="C15">
            <v>1</v>
          </cell>
          <cell r="D15">
            <v>1</v>
          </cell>
          <cell r="E15">
            <v>1</v>
          </cell>
          <cell r="F15">
            <v>100</v>
          </cell>
          <cell r="G15">
            <v>100</v>
          </cell>
          <cell r="H15">
            <v>2.5</v>
          </cell>
        </row>
        <row r="16">
          <cell r="B16" t="str">
            <v>Hanuman Junction</v>
          </cell>
          <cell r="C16">
            <v>1</v>
          </cell>
          <cell r="D16">
            <v>1</v>
          </cell>
          <cell r="E16">
            <v>1</v>
          </cell>
          <cell r="F16">
            <v>100</v>
          </cell>
          <cell r="G16">
            <v>100</v>
          </cell>
          <cell r="H16">
            <v>2.5</v>
          </cell>
        </row>
        <row r="17">
          <cell r="B17" t="str">
            <v>Inaguduru UPS</v>
          </cell>
          <cell r="C17">
            <v>0</v>
          </cell>
          <cell r="D17">
            <v>0</v>
          </cell>
          <cell r="E17">
            <v>0</v>
          </cell>
          <cell r="F17" t="str">
            <v>100.00</v>
          </cell>
          <cell r="G17" t="str">
            <v>100.00</v>
          </cell>
          <cell r="H17">
            <v>2.5</v>
          </cell>
        </row>
        <row r="18">
          <cell r="B18" t="str">
            <v>Kankipadu</v>
          </cell>
          <cell r="C18">
            <v>1</v>
          </cell>
          <cell r="D18">
            <v>1</v>
          </cell>
          <cell r="E18">
            <v>1</v>
          </cell>
          <cell r="F18">
            <v>100</v>
          </cell>
          <cell r="G18">
            <v>100</v>
          </cell>
          <cell r="H18">
            <v>2.5</v>
          </cell>
        </row>
        <row r="19">
          <cell r="B19" t="str">
            <v>Koduru</v>
          </cell>
          <cell r="C19">
            <v>1</v>
          </cell>
          <cell r="D19">
            <v>1</v>
          </cell>
          <cell r="E19">
            <v>1</v>
          </cell>
          <cell r="F19">
            <v>100</v>
          </cell>
          <cell r="G19">
            <v>100</v>
          </cell>
          <cell r="H19">
            <v>2.5</v>
          </cell>
        </row>
        <row r="20">
          <cell r="B20" t="str">
            <v>Kruthivennu</v>
          </cell>
          <cell r="C20">
            <v>0</v>
          </cell>
          <cell r="D20">
            <v>0</v>
          </cell>
          <cell r="E20">
            <v>0</v>
          </cell>
          <cell r="F20" t="str">
            <v>100.00</v>
          </cell>
          <cell r="G20" t="str">
            <v>100.00</v>
          </cell>
          <cell r="H20">
            <v>2.5</v>
          </cell>
        </row>
        <row r="21">
          <cell r="B21" t="str">
            <v>Kuchipudi</v>
          </cell>
          <cell r="C21">
            <v>0</v>
          </cell>
          <cell r="D21">
            <v>0</v>
          </cell>
          <cell r="E21">
            <v>0</v>
          </cell>
          <cell r="F21" t="str">
            <v>100.00</v>
          </cell>
          <cell r="G21" t="str">
            <v>100.00</v>
          </cell>
          <cell r="H21">
            <v>2.5</v>
          </cell>
        </row>
        <row r="22">
          <cell r="B22" t="str">
            <v>Machilipatnam Town</v>
          </cell>
          <cell r="C22">
            <v>1</v>
          </cell>
          <cell r="D22">
            <v>1</v>
          </cell>
          <cell r="E22">
            <v>1</v>
          </cell>
          <cell r="F22">
            <v>100</v>
          </cell>
          <cell r="G22">
            <v>100</v>
          </cell>
          <cell r="H22">
            <v>2.5</v>
          </cell>
        </row>
        <row r="23">
          <cell r="B23" t="str">
            <v>Mahila UPS, Machilipatnam</v>
          </cell>
          <cell r="C23">
            <v>0</v>
          </cell>
          <cell r="D23">
            <v>0</v>
          </cell>
          <cell r="E23">
            <v>0</v>
          </cell>
          <cell r="F23" t="str">
            <v>100.00</v>
          </cell>
          <cell r="G23" t="str">
            <v>100.00</v>
          </cell>
          <cell r="H23">
            <v>2.5</v>
          </cell>
        </row>
        <row r="24">
          <cell r="B24" t="str">
            <v>Nagayalanka</v>
          </cell>
          <cell r="C24">
            <v>2</v>
          </cell>
          <cell r="D24">
            <v>2</v>
          </cell>
          <cell r="E24">
            <v>2</v>
          </cell>
          <cell r="F24">
            <v>100</v>
          </cell>
          <cell r="G24">
            <v>100</v>
          </cell>
          <cell r="H24">
            <v>2.5</v>
          </cell>
        </row>
        <row r="25">
          <cell r="B25" t="str">
            <v>Nandivada</v>
          </cell>
          <cell r="C25">
            <v>1</v>
          </cell>
          <cell r="D25">
            <v>1</v>
          </cell>
          <cell r="E25">
            <v>1</v>
          </cell>
          <cell r="F25">
            <v>100</v>
          </cell>
          <cell r="G25">
            <v>100</v>
          </cell>
          <cell r="H25">
            <v>2.5</v>
          </cell>
        </row>
        <row r="26">
          <cell r="B26" t="str">
            <v>Pamarru</v>
          </cell>
          <cell r="C26">
            <v>1</v>
          </cell>
          <cell r="D26">
            <v>1</v>
          </cell>
          <cell r="E26">
            <v>1</v>
          </cell>
          <cell r="F26">
            <v>100</v>
          </cell>
          <cell r="G26">
            <v>100</v>
          </cell>
          <cell r="H26">
            <v>2.5</v>
          </cell>
        </row>
        <row r="27">
          <cell r="B27" t="str">
            <v>Pamidimukkala</v>
          </cell>
          <cell r="C27">
            <v>0</v>
          </cell>
          <cell r="D27">
            <v>0</v>
          </cell>
          <cell r="E27">
            <v>0</v>
          </cell>
          <cell r="F27" t="str">
            <v>100.00</v>
          </cell>
          <cell r="G27" t="str">
            <v>100.00</v>
          </cell>
          <cell r="H27">
            <v>2.5</v>
          </cell>
        </row>
        <row r="28">
          <cell r="B28" t="str">
            <v>Pedana</v>
          </cell>
          <cell r="C28">
            <v>1</v>
          </cell>
          <cell r="D28">
            <v>1</v>
          </cell>
          <cell r="E28">
            <v>1</v>
          </cell>
          <cell r="F28">
            <v>100</v>
          </cell>
          <cell r="G28">
            <v>100</v>
          </cell>
          <cell r="H28">
            <v>2.5</v>
          </cell>
        </row>
        <row r="29">
          <cell r="B29" t="str">
            <v>Pedaparupudi</v>
          </cell>
          <cell r="C29">
            <v>0</v>
          </cell>
          <cell r="D29">
            <v>0</v>
          </cell>
          <cell r="E29">
            <v>0</v>
          </cell>
          <cell r="F29" t="str">
            <v>100.00</v>
          </cell>
          <cell r="G29" t="str">
            <v>100.00</v>
          </cell>
          <cell r="H29">
            <v>2.5</v>
          </cell>
        </row>
        <row r="30">
          <cell r="B30" t="str">
            <v>Penamaluru UPS</v>
          </cell>
          <cell r="C30">
            <v>1</v>
          </cell>
          <cell r="D30">
            <v>1</v>
          </cell>
          <cell r="E30">
            <v>1</v>
          </cell>
          <cell r="F30">
            <v>100</v>
          </cell>
          <cell r="G30">
            <v>100</v>
          </cell>
          <cell r="H30">
            <v>2.5</v>
          </cell>
        </row>
        <row r="31">
          <cell r="B31" t="str">
            <v>Robertsonpet</v>
          </cell>
          <cell r="C31">
            <v>1</v>
          </cell>
          <cell r="D31">
            <v>1</v>
          </cell>
          <cell r="E31">
            <v>1</v>
          </cell>
          <cell r="F31">
            <v>100</v>
          </cell>
          <cell r="G31">
            <v>100</v>
          </cell>
          <cell r="H31">
            <v>2.5</v>
          </cell>
        </row>
        <row r="32">
          <cell r="B32" t="str">
            <v>Thotlavalluru</v>
          </cell>
          <cell r="C32">
            <v>3</v>
          </cell>
          <cell r="D32">
            <v>3</v>
          </cell>
          <cell r="E32">
            <v>3</v>
          </cell>
          <cell r="F32">
            <v>100</v>
          </cell>
          <cell r="G32">
            <v>100</v>
          </cell>
          <cell r="H32">
            <v>2.5</v>
          </cell>
        </row>
        <row r="33">
          <cell r="B33" t="str">
            <v>Unguturu</v>
          </cell>
          <cell r="C33">
            <v>0</v>
          </cell>
          <cell r="D33">
            <v>0</v>
          </cell>
          <cell r="E33">
            <v>0</v>
          </cell>
          <cell r="F33" t="str">
            <v>100.00</v>
          </cell>
          <cell r="G33" t="str">
            <v>100.00</v>
          </cell>
          <cell r="H33">
            <v>2.5</v>
          </cell>
        </row>
        <row r="34">
          <cell r="B34" t="str">
            <v>Veeravalli</v>
          </cell>
          <cell r="C34">
            <v>0</v>
          </cell>
          <cell r="D34">
            <v>0</v>
          </cell>
          <cell r="E34">
            <v>0</v>
          </cell>
          <cell r="F34" t="str">
            <v>100.00</v>
          </cell>
          <cell r="G34" t="str">
            <v>100.00</v>
          </cell>
          <cell r="H34">
            <v>2.5</v>
          </cell>
        </row>
        <row r="35">
          <cell r="B35" t="str">
            <v>Vuyyuru Rural</v>
          </cell>
          <cell r="C35">
            <v>0</v>
          </cell>
          <cell r="D35">
            <v>0</v>
          </cell>
          <cell r="E35">
            <v>0</v>
          </cell>
          <cell r="F35" t="str">
            <v>100.00</v>
          </cell>
          <cell r="G35" t="str">
            <v>100.00</v>
          </cell>
          <cell r="H35">
            <v>2.5</v>
          </cell>
        </row>
        <row r="36">
          <cell r="B36" t="str">
            <v>Vuyyuru Town UPS</v>
          </cell>
          <cell r="C36">
            <v>1</v>
          </cell>
          <cell r="D36">
            <v>1</v>
          </cell>
          <cell r="E36">
            <v>1</v>
          </cell>
          <cell r="F36">
            <v>100</v>
          </cell>
          <cell r="G36">
            <v>100</v>
          </cell>
          <cell r="H36">
            <v>2.5</v>
          </cell>
        </row>
        <row r="37">
          <cell r="C37">
            <v>25</v>
          </cell>
          <cell r="D37">
            <v>25</v>
          </cell>
          <cell r="E37">
            <v>25</v>
          </cell>
          <cell r="F37">
            <v>100</v>
          </cell>
          <cell r="G37">
            <v>100</v>
          </cell>
          <cell r="H37">
            <v>2.5</v>
          </cell>
        </row>
      </sheetData>
      <sheetData sheetId="1">
        <row r="2">
          <cell r="B2" t="str">
            <v>PS NAME</v>
          </cell>
          <cell r="C2" t="str">
            <v xml:space="preserve">Total Cases 
Reported </v>
          </cell>
          <cell r="D2" t="str">
            <v>No. of Cases
 required MLC</v>
          </cell>
          <cell r="E2" t="str">
            <v>No. of Cases Requests Raised</v>
          </cell>
          <cell r="F2" t="str">
            <v>% Requests</v>
          </cell>
          <cell r="G2" t="str">
            <v>Raw 
Value</v>
          </cell>
          <cell r="H2" t="str">
            <v>Marks</v>
          </cell>
        </row>
        <row r="3">
          <cell r="B3" t="str">
            <v>Atkuru</v>
          </cell>
          <cell r="C3">
            <v>1</v>
          </cell>
          <cell r="D3">
            <v>1</v>
          </cell>
          <cell r="E3">
            <v>1</v>
          </cell>
          <cell r="F3">
            <v>100</v>
          </cell>
          <cell r="G3">
            <v>100</v>
          </cell>
          <cell r="H3">
            <v>2.5</v>
          </cell>
        </row>
        <row r="4">
          <cell r="B4" t="str">
            <v>Avanigadda</v>
          </cell>
          <cell r="C4">
            <v>1</v>
          </cell>
          <cell r="D4">
            <v>1</v>
          </cell>
          <cell r="E4">
            <v>1</v>
          </cell>
          <cell r="F4">
            <v>100</v>
          </cell>
          <cell r="G4">
            <v>100</v>
          </cell>
          <cell r="H4">
            <v>2.5</v>
          </cell>
        </row>
        <row r="5">
          <cell r="B5" t="str">
            <v>Bandar Taluk PS</v>
          </cell>
          <cell r="C5">
            <v>1</v>
          </cell>
          <cell r="D5">
            <v>1</v>
          </cell>
          <cell r="E5">
            <v>1</v>
          </cell>
          <cell r="F5">
            <v>100</v>
          </cell>
          <cell r="G5">
            <v>100</v>
          </cell>
          <cell r="H5">
            <v>2.5</v>
          </cell>
        </row>
        <row r="6">
          <cell r="B6" t="str">
            <v>Bantumilli</v>
          </cell>
          <cell r="C6">
            <v>0</v>
          </cell>
          <cell r="D6">
            <v>0</v>
          </cell>
          <cell r="E6">
            <v>0</v>
          </cell>
          <cell r="F6" t="str">
            <v>100.00</v>
          </cell>
          <cell r="G6" t="str">
            <v>100.00</v>
          </cell>
          <cell r="H6">
            <v>2.5</v>
          </cell>
        </row>
        <row r="7">
          <cell r="B7" t="str">
            <v>Challapalli</v>
          </cell>
          <cell r="C7">
            <v>1</v>
          </cell>
          <cell r="D7">
            <v>1</v>
          </cell>
          <cell r="E7">
            <v>1</v>
          </cell>
          <cell r="F7">
            <v>100</v>
          </cell>
          <cell r="G7">
            <v>100</v>
          </cell>
          <cell r="H7">
            <v>2.5</v>
          </cell>
        </row>
        <row r="8">
          <cell r="B8" t="str">
            <v>Chilakalapudi UPS</v>
          </cell>
          <cell r="C8">
            <v>0</v>
          </cell>
          <cell r="D8">
            <v>0</v>
          </cell>
          <cell r="E8">
            <v>0</v>
          </cell>
          <cell r="F8" t="str">
            <v>100.00</v>
          </cell>
          <cell r="G8" t="str">
            <v>100.00</v>
          </cell>
          <cell r="H8">
            <v>2.5</v>
          </cell>
        </row>
        <row r="9">
          <cell r="B9" t="str">
            <v>Gannavaram UPS</v>
          </cell>
          <cell r="C9">
            <v>0</v>
          </cell>
          <cell r="D9">
            <v>0</v>
          </cell>
          <cell r="E9">
            <v>0</v>
          </cell>
          <cell r="F9" t="str">
            <v>100.00</v>
          </cell>
          <cell r="G9" t="str">
            <v>100.00</v>
          </cell>
          <cell r="H9">
            <v>2.5</v>
          </cell>
        </row>
        <row r="10">
          <cell r="B10" t="str">
            <v>Ghantasala</v>
          </cell>
          <cell r="C10">
            <v>0</v>
          </cell>
          <cell r="D10">
            <v>0</v>
          </cell>
          <cell r="E10">
            <v>0</v>
          </cell>
          <cell r="F10" t="str">
            <v>100.00</v>
          </cell>
          <cell r="G10" t="str">
            <v>100.00</v>
          </cell>
          <cell r="H10">
            <v>2.5</v>
          </cell>
        </row>
        <row r="11">
          <cell r="B11" t="str">
            <v>Gudivada I Town UPS</v>
          </cell>
          <cell r="C11">
            <v>2</v>
          </cell>
          <cell r="D11">
            <v>2</v>
          </cell>
          <cell r="E11">
            <v>2</v>
          </cell>
          <cell r="F11">
            <v>100</v>
          </cell>
          <cell r="G11">
            <v>100</v>
          </cell>
          <cell r="H11">
            <v>2.5</v>
          </cell>
        </row>
        <row r="12">
          <cell r="B12" t="str">
            <v>Gudivada II Town UPS</v>
          </cell>
          <cell r="C12">
            <v>0</v>
          </cell>
          <cell r="D12">
            <v>0</v>
          </cell>
          <cell r="E12">
            <v>0</v>
          </cell>
          <cell r="F12" t="str">
            <v>100.00</v>
          </cell>
          <cell r="G12" t="str">
            <v>100.00</v>
          </cell>
          <cell r="H12">
            <v>2.5</v>
          </cell>
        </row>
        <row r="13">
          <cell r="B13" t="str">
            <v>Gudivada Rural</v>
          </cell>
          <cell r="C13">
            <v>1</v>
          </cell>
          <cell r="D13">
            <v>1</v>
          </cell>
          <cell r="E13">
            <v>1</v>
          </cell>
          <cell r="F13">
            <v>100</v>
          </cell>
          <cell r="G13">
            <v>100</v>
          </cell>
          <cell r="H13">
            <v>2.5</v>
          </cell>
        </row>
        <row r="14">
          <cell r="B14" t="str">
            <v>Gudlavalleru</v>
          </cell>
          <cell r="C14">
            <v>0</v>
          </cell>
          <cell r="D14">
            <v>0</v>
          </cell>
          <cell r="E14">
            <v>0</v>
          </cell>
          <cell r="F14" t="str">
            <v>100.00</v>
          </cell>
          <cell r="G14" t="str">
            <v>100.00</v>
          </cell>
          <cell r="H14">
            <v>2.5</v>
          </cell>
        </row>
        <row r="15">
          <cell r="B15" t="str">
            <v>Guduru</v>
          </cell>
          <cell r="C15">
            <v>0</v>
          </cell>
          <cell r="D15">
            <v>0</v>
          </cell>
          <cell r="E15">
            <v>0</v>
          </cell>
          <cell r="F15" t="str">
            <v>100.00</v>
          </cell>
          <cell r="G15" t="str">
            <v>100.00</v>
          </cell>
          <cell r="H15">
            <v>2.5</v>
          </cell>
        </row>
        <row r="16">
          <cell r="B16" t="str">
            <v>Hanuman Junction</v>
          </cell>
          <cell r="C16">
            <v>0</v>
          </cell>
          <cell r="D16">
            <v>0</v>
          </cell>
          <cell r="E16">
            <v>0</v>
          </cell>
          <cell r="F16" t="str">
            <v>100.00</v>
          </cell>
          <cell r="G16" t="str">
            <v>100.00</v>
          </cell>
          <cell r="H16">
            <v>2.5</v>
          </cell>
        </row>
        <row r="17">
          <cell r="B17" t="str">
            <v>Inaguduru UPS</v>
          </cell>
          <cell r="C17">
            <v>0</v>
          </cell>
          <cell r="D17">
            <v>0</v>
          </cell>
          <cell r="E17">
            <v>0</v>
          </cell>
          <cell r="F17" t="str">
            <v>100.00</v>
          </cell>
          <cell r="G17" t="str">
            <v>100.00</v>
          </cell>
          <cell r="H17">
            <v>2.5</v>
          </cell>
        </row>
        <row r="18">
          <cell r="B18" t="str">
            <v>Kankipadu</v>
          </cell>
          <cell r="C18">
            <v>0</v>
          </cell>
          <cell r="D18">
            <v>0</v>
          </cell>
          <cell r="E18">
            <v>0</v>
          </cell>
          <cell r="F18" t="str">
            <v>100.00</v>
          </cell>
          <cell r="G18" t="str">
            <v>100.00</v>
          </cell>
          <cell r="H18">
            <v>2.5</v>
          </cell>
        </row>
        <row r="19">
          <cell r="B19" t="str">
            <v>Koduru</v>
          </cell>
          <cell r="C19">
            <v>0</v>
          </cell>
          <cell r="D19">
            <v>0</v>
          </cell>
          <cell r="E19">
            <v>0</v>
          </cell>
          <cell r="F19" t="str">
            <v>100.00</v>
          </cell>
          <cell r="G19" t="str">
            <v>100.00</v>
          </cell>
          <cell r="H19">
            <v>2.5</v>
          </cell>
        </row>
        <row r="20">
          <cell r="B20" t="str">
            <v>Kruthivennu</v>
          </cell>
          <cell r="C20">
            <v>0</v>
          </cell>
          <cell r="D20">
            <v>0</v>
          </cell>
          <cell r="E20">
            <v>0</v>
          </cell>
          <cell r="F20" t="str">
            <v>100.00</v>
          </cell>
          <cell r="G20" t="str">
            <v>100.00</v>
          </cell>
          <cell r="H20">
            <v>2.5</v>
          </cell>
        </row>
        <row r="21">
          <cell r="B21" t="str">
            <v>Kuchipudi</v>
          </cell>
          <cell r="C21">
            <v>2</v>
          </cell>
          <cell r="D21">
            <v>2</v>
          </cell>
          <cell r="E21">
            <v>2</v>
          </cell>
          <cell r="F21">
            <v>100</v>
          </cell>
          <cell r="G21">
            <v>100</v>
          </cell>
          <cell r="H21">
            <v>2.5</v>
          </cell>
        </row>
        <row r="22">
          <cell r="B22" t="str">
            <v>Machilipatnam Town</v>
          </cell>
          <cell r="C22">
            <v>1</v>
          </cell>
          <cell r="D22">
            <v>1</v>
          </cell>
          <cell r="E22">
            <v>1</v>
          </cell>
          <cell r="F22">
            <v>100</v>
          </cell>
          <cell r="G22">
            <v>100</v>
          </cell>
          <cell r="H22">
            <v>2.5</v>
          </cell>
        </row>
        <row r="23">
          <cell r="B23" t="str">
            <v>Mahila UPS, Machilipatnam</v>
          </cell>
          <cell r="C23">
            <v>0</v>
          </cell>
          <cell r="D23">
            <v>0</v>
          </cell>
          <cell r="E23">
            <v>0</v>
          </cell>
          <cell r="F23" t="str">
            <v>100.00</v>
          </cell>
          <cell r="G23" t="str">
            <v>100.00</v>
          </cell>
          <cell r="H23">
            <v>2.5</v>
          </cell>
        </row>
        <row r="24">
          <cell r="B24" t="str">
            <v>Nagayalanka</v>
          </cell>
          <cell r="C24">
            <v>0</v>
          </cell>
          <cell r="D24">
            <v>0</v>
          </cell>
          <cell r="E24">
            <v>0</v>
          </cell>
          <cell r="F24" t="str">
            <v>100.00</v>
          </cell>
          <cell r="G24" t="str">
            <v>100.00</v>
          </cell>
          <cell r="H24">
            <v>2.5</v>
          </cell>
        </row>
        <row r="25">
          <cell r="B25" t="str">
            <v>Nandivada</v>
          </cell>
          <cell r="C25">
            <v>1</v>
          </cell>
          <cell r="D25">
            <v>1</v>
          </cell>
          <cell r="E25">
            <v>1</v>
          </cell>
          <cell r="F25">
            <v>100</v>
          </cell>
          <cell r="G25">
            <v>100</v>
          </cell>
          <cell r="H25">
            <v>2.5</v>
          </cell>
        </row>
        <row r="26">
          <cell r="B26" t="str">
            <v>Pamarru</v>
          </cell>
          <cell r="C26">
            <v>0</v>
          </cell>
          <cell r="D26">
            <v>0</v>
          </cell>
          <cell r="E26">
            <v>0</v>
          </cell>
          <cell r="F26" t="str">
            <v>100.00</v>
          </cell>
          <cell r="G26" t="str">
            <v>100.00</v>
          </cell>
          <cell r="H26">
            <v>2.5</v>
          </cell>
        </row>
        <row r="27">
          <cell r="B27" t="str">
            <v>Pamidimukkala</v>
          </cell>
          <cell r="C27">
            <v>0</v>
          </cell>
          <cell r="D27">
            <v>0</v>
          </cell>
          <cell r="E27">
            <v>0</v>
          </cell>
          <cell r="F27" t="str">
            <v>100.00</v>
          </cell>
          <cell r="G27" t="str">
            <v>100.00</v>
          </cell>
          <cell r="H27">
            <v>2.5</v>
          </cell>
        </row>
        <row r="28">
          <cell r="B28" t="str">
            <v>Pedana</v>
          </cell>
          <cell r="C28">
            <v>1</v>
          </cell>
          <cell r="D28">
            <v>1</v>
          </cell>
          <cell r="E28">
            <v>1</v>
          </cell>
          <cell r="F28">
            <v>100</v>
          </cell>
          <cell r="G28">
            <v>100</v>
          </cell>
          <cell r="H28">
            <v>2.5</v>
          </cell>
        </row>
        <row r="29">
          <cell r="B29" t="str">
            <v>Pedaparupudi</v>
          </cell>
          <cell r="C29">
            <v>1</v>
          </cell>
          <cell r="D29">
            <v>1</v>
          </cell>
          <cell r="E29">
            <v>1</v>
          </cell>
          <cell r="F29">
            <v>100</v>
          </cell>
          <cell r="G29">
            <v>100</v>
          </cell>
          <cell r="H29">
            <v>2.5</v>
          </cell>
        </row>
        <row r="30">
          <cell r="B30" t="str">
            <v>Penamaluru UPS</v>
          </cell>
          <cell r="C30">
            <v>2</v>
          </cell>
          <cell r="D30">
            <v>2</v>
          </cell>
          <cell r="E30">
            <v>2</v>
          </cell>
          <cell r="F30">
            <v>100</v>
          </cell>
          <cell r="G30">
            <v>100</v>
          </cell>
          <cell r="H30">
            <v>2.5</v>
          </cell>
        </row>
        <row r="31">
          <cell r="B31" t="str">
            <v>Robertsonpet</v>
          </cell>
          <cell r="C31">
            <v>0</v>
          </cell>
          <cell r="D31">
            <v>0</v>
          </cell>
          <cell r="E31">
            <v>0</v>
          </cell>
          <cell r="F31" t="str">
            <v>100.00</v>
          </cell>
          <cell r="G31" t="str">
            <v>100.00</v>
          </cell>
          <cell r="H31">
            <v>2.5</v>
          </cell>
        </row>
        <row r="32">
          <cell r="B32" t="str">
            <v>Thotlavalluru</v>
          </cell>
          <cell r="C32">
            <v>0</v>
          </cell>
          <cell r="D32">
            <v>0</v>
          </cell>
          <cell r="E32">
            <v>0</v>
          </cell>
          <cell r="F32" t="str">
            <v>100.00</v>
          </cell>
          <cell r="G32" t="str">
            <v>100.00</v>
          </cell>
          <cell r="H32">
            <v>2.5</v>
          </cell>
        </row>
        <row r="33">
          <cell r="B33" t="str">
            <v>Unguturu</v>
          </cell>
          <cell r="C33">
            <v>0</v>
          </cell>
          <cell r="D33">
            <v>0</v>
          </cell>
          <cell r="E33">
            <v>0</v>
          </cell>
          <cell r="F33" t="str">
            <v>100.00</v>
          </cell>
          <cell r="G33" t="str">
            <v>100.00</v>
          </cell>
          <cell r="H33">
            <v>2.5</v>
          </cell>
        </row>
        <row r="34">
          <cell r="B34" t="str">
            <v>Veeravalli</v>
          </cell>
          <cell r="C34">
            <v>1</v>
          </cell>
          <cell r="D34">
            <v>1</v>
          </cell>
          <cell r="E34">
            <v>1</v>
          </cell>
          <cell r="F34">
            <v>100</v>
          </cell>
          <cell r="G34">
            <v>100</v>
          </cell>
          <cell r="H34">
            <v>2.5</v>
          </cell>
        </row>
        <row r="35">
          <cell r="B35" t="str">
            <v>Vuyyuru Rural</v>
          </cell>
          <cell r="C35">
            <v>1</v>
          </cell>
          <cell r="D35">
            <v>1</v>
          </cell>
          <cell r="E35">
            <v>1</v>
          </cell>
          <cell r="F35">
            <v>100</v>
          </cell>
          <cell r="G35">
            <v>100</v>
          </cell>
          <cell r="H35">
            <v>2.5</v>
          </cell>
        </row>
        <row r="36">
          <cell r="B36" t="str">
            <v>Vuyyuru Town UPS</v>
          </cell>
          <cell r="C36">
            <v>1</v>
          </cell>
          <cell r="D36">
            <v>1</v>
          </cell>
          <cell r="E36">
            <v>1</v>
          </cell>
          <cell r="F36">
            <v>100</v>
          </cell>
          <cell r="G36">
            <v>100</v>
          </cell>
          <cell r="H36">
            <v>2.5</v>
          </cell>
        </row>
        <row r="37">
          <cell r="C37">
            <v>18</v>
          </cell>
          <cell r="D37">
            <v>18</v>
          </cell>
          <cell r="E37">
            <v>18</v>
          </cell>
          <cell r="F37">
            <v>100</v>
          </cell>
          <cell r="G37">
            <v>100</v>
          </cell>
          <cell r="H37">
            <v>2.5</v>
          </cell>
        </row>
      </sheetData>
      <sheetData sheetId="2">
        <row r="2">
          <cell r="B2" t="str">
            <v>PS NAME</v>
          </cell>
          <cell r="C2" t="str">
            <v>Total Gandiva searches</v>
          </cell>
          <cell r="D2" t="str">
            <v>Total Sudarshan searches</v>
          </cell>
          <cell r="E2" t="str">
            <v>Gandiva
Raw Value</v>
          </cell>
          <cell r="F2" t="str">
            <v>Sudharshan Raw Value</v>
          </cell>
          <cell r="G2" t="str">
            <v>NATGRID
Raw Value</v>
          </cell>
          <cell r="H2" t="str">
            <v>Marks</v>
          </cell>
        </row>
        <row r="3">
          <cell r="B3" t="str">
            <v>Atkuru</v>
          </cell>
          <cell r="C3" t="str">
            <v>NA</v>
          </cell>
          <cell r="D3" t="str">
            <v>NA</v>
          </cell>
          <cell r="E3">
            <v>0</v>
          </cell>
          <cell r="F3">
            <v>0</v>
          </cell>
          <cell r="G3">
            <v>0</v>
          </cell>
          <cell r="H3">
            <v>0</v>
          </cell>
        </row>
        <row r="4">
          <cell r="B4" t="str">
            <v>Avanigadda</v>
          </cell>
          <cell r="C4" t="str">
            <v>NA</v>
          </cell>
          <cell r="D4" t="str">
            <v>NA</v>
          </cell>
          <cell r="E4">
            <v>0</v>
          </cell>
          <cell r="F4">
            <v>0</v>
          </cell>
          <cell r="G4">
            <v>0</v>
          </cell>
          <cell r="H4">
            <v>0</v>
          </cell>
        </row>
        <row r="5">
          <cell r="B5" t="str">
            <v>Bandar Taluk PS</v>
          </cell>
          <cell r="C5" t="str">
            <v>NA</v>
          </cell>
          <cell r="D5" t="str">
            <v>NA</v>
          </cell>
          <cell r="E5">
            <v>0</v>
          </cell>
          <cell r="F5">
            <v>0</v>
          </cell>
          <cell r="G5">
            <v>0</v>
          </cell>
          <cell r="H5">
            <v>0</v>
          </cell>
        </row>
        <row r="6">
          <cell r="B6" t="str">
            <v>Bantumilli</v>
          </cell>
          <cell r="C6" t="str">
            <v>NA</v>
          </cell>
          <cell r="D6" t="str">
            <v>NA</v>
          </cell>
          <cell r="E6">
            <v>0</v>
          </cell>
          <cell r="F6">
            <v>0</v>
          </cell>
          <cell r="G6">
            <v>0</v>
          </cell>
          <cell r="H6">
            <v>0</v>
          </cell>
        </row>
        <row r="7">
          <cell r="B7" t="str">
            <v>Challapalli</v>
          </cell>
          <cell r="C7" t="str">
            <v>NA</v>
          </cell>
          <cell r="D7" t="str">
            <v>NA</v>
          </cell>
          <cell r="E7">
            <v>0</v>
          </cell>
          <cell r="F7">
            <v>0</v>
          </cell>
          <cell r="G7">
            <v>0</v>
          </cell>
          <cell r="H7">
            <v>0</v>
          </cell>
        </row>
        <row r="8">
          <cell r="B8" t="str">
            <v>Chilakalapudi UPS</v>
          </cell>
          <cell r="C8" t="str">
            <v>NA</v>
          </cell>
          <cell r="D8" t="str">
            <v>NA</v>
          </cell>
          <cell r="E8">
            <v>0</v>
          </cell>
          <cell r="F8">
            <v>0</v>
          </cell>
          <cell r="G8">
            <v>0</v>
          </cell>
          <cell r="H8">
            <v>0</v>
          </cell>
        </row>
        <row r="9">
          <cell r="B9" t="str">
            <v>Gannavaram UPS</v>
          </cell>
          <cell r="C9" t="str">
            <v>NA</v>
          </cell>
          <cell r="D9" t="str">
            <v>NA</v>
          </cell>
          <cell r="E9">
            <v>0</v>
          </cell>
          <cell r="F9">
            <v>0</v>
          </cell>
          <cell r="G9">
            <v>0</v>
          </cell>
          <cell r="H9">
            <v>0</v>
          </cell>
        </row>
        <row r="10">
          <cell r="B10" t="str">
            <v>Ghantasala</v>
          </cell>
          <cell r="C10" t="str">
            <v>NA</v>
          </cell>
          <cell r="D10" t="str">
            <v>NA</v>
          </cell>
          <cell r="E10">
            <v>0</v>
          </cell>
          <cell r="F10">
            <v>0</v>
          </cell>
          <cell r="G10">
            <v>0</v>
          </cell>
          <cell r="H10">
            <v>0</v>
          </cell>
        </row>
        <row r="11">
          <cell r="B11" t="str">
            <v>Gudivada I Town UPS</v>
          </cell>
          <cell r="C11" t="str">
            <v>NA</v>
          </cell>
          <cell r="D11" t="str">
            <v>NA</v>
          </cell>
          <cell r="E11">
            <v>0</v>
          </cell>
          <cell r="F11">
            <v>0</v>
          </cell>
          <cell r="G11">
            <v>0</v>
          </cell>
          <cell r="H11">
            <v>0</v>
          </cell>
        </row>
        <row r="12">
          <cell r="B12" t="str">
            <v>Gudivada II Town UPS</v>
          </cell>
          <cell r="C12" t="str">
            <v>NA</v>
          </cell>
          <cell r="D12" t="str">
            <v>NA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</row>
        <row r="13">
          <cell r="B13" t="str">
            <v>Gudivada Rural</v>
          </cell>
          <cell r="C13" t="str">
            <v>NA</v>
          </cell>
          <cell r="D13" t="str">
            <v>NA</v>
          </cell>
          <cell r="E13">
            <v>0</v>
          </cell>
          <cell r="F13">
            <v>0</v>
          </cell>
          <cell r="G13">
            <v>0</v>
          </cell>
          <cell r="H13">
            <v>0</v>
          </cell>
        </row>
        <row r="14">
          <cell r="B14" t="str">
            <v>Gudlavalleru</v>
          </cell>
          <cell r="C14" t="str">
            <v>NA</v>
          </cell>
          <cell r="D14" t="str">
            <v>NA</v>
          </cell>
          <cell r="E14">
            <v>0</v>
          </cell>
          <cell r="F14">
            <v>0</v>
          </cell>
          <cell r="G14">
            <v>0</v>
          </cell>
          <cell r="H14">
            <v>0</v>
          </cell>
        </row>
        <row r="15">
          <cell r="B15" t="str">
            <v>Guduru</v>
          </cell>
          <cell r="C15" t="str">
            <v>NA</v>
          </cell>
          <cell r="D15" t="str">
            <v>NA</v>
          </cell>
          <cell r="E15">
            <v>0</v>
          </cell>
          <cell r="F15">
            <v>0</v>
          </cell>
          <cell r="G15">
            <v>0</v>
          </cell>
          <cell r="H15">
            <v>0</v>
          </cell>
        </row>
        <row r="16">
          <cell r="B16" t="str">
            <v>Hanuman Junction</v>
          </cell>
          <cell r="C16" t="str">
            <v>NA</v>
          </cell>
          <cell r="D16" t="str">
            <v>NA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</row>
        <row r="17">
          <cell r="B17" t="str">
            <v>Inaguduru UPS</v>
          </cell>
          <cell r="C17" t="str">
            <v>NA</v>
          </cell>
          <cell r="D17" t="str">
            <v>NA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</row>
        <row r="18">
          <cell r="B18" t="str">
            <v>Kankipadu</v>
          </cell>
          <cell r="C18" t="str">
            <v>NA</v>
          </cell>
          <cell r="D18" t="str">
            <v>NA</v>
          </cell>
          <cell r="E18">
            <v>0</v>
          </cell>
          <cell r="F18">
            <v>0</v>
          </cell>
          <cell r="G18">
            <v>0</v>
          </cell>
          <cell r="H18">
            <v>0</v>
          </cell>
        </row>
        <row r="19">
          <cell r="B19" t="str">
            <v>Koduru</v>
          </cell>
          <cell r="C19" t="str">
            <v>NA</v>
          </cell>
          <cell r="D19" t="str">
            <v>NA</v>
          </cell>
          <cell r="E19">
            <v>0</v>
          </cell>
          <cell r="F19">
            <v>0</v>
          </cell>
          <cell r="G19">
            <v>0</v>
          </cell>
          <cell r="H19">
            <v>0</v>
          </cell>
        </row>
        <row r="20">
          <cell r="B20" t="str">
            <v>Kruthivennu</v>
          </cell>
          <cell r="C20" t="str">
            <v>NA</v>
          </cell>
          <cell r="D20" t="str">
            <v>NA</v>
          </cell>
          <cell r="E20">
            <v>0</v>
          </cell>
          <cell r="F20">
            <v>0</v>
          </cell>
          <cell r="G20">
            <v>0</v>
          </cell>
          <cell r="H20">
            <v>0</v>
          </cell>
        </row>
        <row r="21">
          <cell r="B21" t="str">
            <v>Kuchipudi</v>
          </cell>
          <cell r="C21" t="str">
            <v>NA</v>
          </cell>
          <cell r="D21" t="str">
            <v>NA</v>
          </cell>
          <cell r="E21">
            <v>0</v>
          </cell>
          <cell r="F21">
            <v>0</v>
          </cell>
          <cell r="G21">
            <v>0</v>
          </cell>
          <cell r="H21">
            <v>0</v>
          </cell>
        </row>
        <row r="22">
          <cell r="B22" t="str">
            <v>Machilipatnam Town</v>
          </cell>
          <cell r="C22" t="str">
            <v>NA</v>
          </cell>
          <cell r="D22" t="str">
            <v>NA</v>
          </cell>
          <cell r="E22">
            <v>0</v>
          </cell>
          <cell r="F22">
            <v>0</v>
          </cell>
          <cell r="G22">
            <v>0</v>
          </cell>
          <cell r="H22">
            <v>0</v>
          </cell>
        </row>
        <row r="23">
          <cell r="B23" t="str">
            <v>Mahila UPS, Machilipatnam</v>
          </cell>
          <cell r="C23" t="str">
            <v>NA</v>
          </cell>
          <cell r="D23" t="str">
            <v>NA</v>
          </cell>
          <cell r="E23">
            <v>0</v>
          </cell>
          <cell r="F23">
            <v>0</v>
          </cell>
          <cell r="G23">
            <v>0</v>
          </cell>
          <cell r="H23">
            <v>0</v>
          </cell>
        </row>
        <row r="24">
          <cell r="B24" t="str">
            <v>Nagayalanka</v>
          </cell>
          <cell r="C24" t="str">
            <v>NA</v>
          </cell>
          <cell r="D24" t="str">
            <v>NA</v>
          </cell>
          <cell r="E24">
            <v>0</v>
          </cell>
          <cell r="F24">
            <v>0</v>
          </cell>
          <cell r="G24">
            <v>0</v>
          </cell>
          <cell r="H24">
            <v>0</v>
          </cell>
        </row>
        <row r="25">
          <cell r="B25" t="str">
            <v>Nandivada</v>
          </cell>
          <cell r="C25" t="str">
            <v>NA</v>
          </cell>
          <cell r="D25" t="str">
            <v>NA</v>
          </cell>
          <cell r="E25">
            <v>0</v>
          </cell>
          <cell r="F25">
            <v>0</v>
          </cell>
          <cell r="G25">
            <v>0</v>
          </cell>
          <cell r="H25">
            <v>0</v>
          </cell>
        </row>
        <row r="26">
          <cell r="B26" t="str">
            <v>Pamarru</v>
          </cell>
          <cell r="C26" t="str">
            <v>NA</v>
          </cell>
          <cell r="D26" t="str">
            <v>NA</v>
          </cell>
          <cell r="E26">
            <v>0</v>
          </cell>
          <cell r="F26">
            <v>0</v>
          </cell>
          <cell r="G26">
            <v>0</v>
          </cell>
          <cell r="H26">
            <v>0</v>
          </cell>
        </row>
        <row r="27">
          <cell r="B27" t="str">
            <v>Pamidimukkala</v>
          </cell>
          <cell r="C27" t="str">
            <v>NA</v>
          </cell>
          <cell r="D27" t="str">
            <v>NA</v>
          </cell>
          <cell r="E27">
            <v>0</v>
          </cell>
          <cell r="F27">
            <v>0</v>
          </cell>
          <cell r="G27">
            <v>0</v>
          </cell>
          <cell r="H27">
            <v>0</v>
          </cell>
        </row>
        <row r="28">
          <cell r="B28" t="str">
            <v>Pedana</v>
          </cell>
          <cell r="C28" t="str">
            <v>NA</v>
          </cell>
          <cell r="D28" t="str">
            <v>NA</v>
          </cell>
          <cell r="E28">
            <v>0</v>
          </cell>
          <cell r="F28">
            <v>0</v>
          </cell>
          <cell r="G28">
            <v>0</v>
          </cell>
          <cell r="H28">
            <v>0</v>
          </cell>
        </row>
        <row r="29">
          <cell r="B29" t="str">
            <v>Pedaparupudi</v>
          </cell>
          <cell r="C29" t="str">
            <v>NA</v>
          </cell>
          <cell r="D29" t="str">
            <v>NA</v>
          </cell>
          <cell r="E29">
            <v>0</v>
          </cell>
          <cell r="F29">
            <v>0</v>
          </cell>
          <cell r="G29">
            <v>0</v>
          </cell>
          <cell r="H29">
            <v>0</v>
          </cell>
        </row>
        <row r="30">
          <cell r="B30" t="str">
            <v>Penamaluru UPS</v>
          </cell>
          <cell r="C30" t="str">
            <v>NA</v>
          </cell>
          <cell r="D30" t="str">
            <v>NA</v>
          </cell>
          <cell r="E30">
            <v>0</v>
          </cell>
          <cell r="F30">
            <v>0</v>
          </cell>
          <cell r="G30">
            <v>0</v>
          </cell>
          <cell r="H30">
            <v>0</v>
          </cell>
        </row>
        <row r="31">
          <cell r="B31" t="str">
            <v>Robertsonpet</v>
          </cell>
          <cell r="C31" t="str">
            <v>NA</v>
          </cell>
          <cell r="D31" t="str">
            <v>NA</v>
          </cell>
          <cell r="E31">
            <v>0</v>
          </cell>
          <cell r="F31">
            <v>0</v>
          </cell>
          <cell r="G31">
            <v>0</v>
          </cell>
          <cell r="H31">
            <v>0</v>
          </cell>
        </row>
        <row r="32">
          <cell r="B32" t="str">
            <v>Thotlavalluru</v>
          </cell>
          <cell r="C32" t="str">
            <v>NA</v>
          </cell>
          <cell r="D32" t="str">
            <v>NA</v>
          </cell>
          <cell r="E32">
            <v>0</v>
          </cell>
          <cell r="F32">
            <v>0</v>
          </cell>
          <cell r="G32">
            <v>0</v>
          </cell>
          <cell r="H32">
            <v>0</v>
          </cell>
        </row>
        <row r="33">
          <cell r="B33" t="str">
            <v>Unguturu</v>
          </cell>
          <cell r="C33" t="str">
            <v>NA</v>
          </cell>
          <cell r="D33" t="str">
            <v>NA</v>
          </cell>
          <cell r="E33">
            <v>0</v>
          </cell>
          <cell r="F33">
            <v>0</v>
          </cell>
          <cell r="G33">
            <v>0</v>
          </cell>
          <cell r="H33">
            <v>0</v>
          </cell>
        </row>
        <row r="34">
          <cell r="B34" t="str">
            <v>Veeravalli</v>
          </cell>
          <cell r="C34" t="str">
            <v>NA</v>
          </cell>
          <cell r="D34" t="str">
            <v>NA</v>
          </cell>
          <cell r="E34">
            <v>0</v>
          </cell>
          <cell r="F34">
            <v>0</v>
          </cell>
          <cell r="G34">
            <v>0</v>
          </cell>
          <cell r="H34">
            <v>0</v>
          </cell>
        </row>
        <row r="35">
          <cell r="B35" t="str">
            <v>Vuyyuru Rural</v>
          </cell>
          <cell r="C35" t="str">
            <v>NA</v>
          </cell>
          <cell r="D35" t="str">
            <v>NA</v>
          </cell>
          <cell r="E35">
            <v>0</v>
          </cell>
          <cell r="F35">
            <v>0</v>
          </cell>
          <cell r="G35">
            <v>0</v>
          </cell>
          <cell r="H35">
            <v>0</v>
          </cell>
        </row>
        <row r="36">
          <cell r="B36" t="str">
            <v>Vuyyuru Town UPS</v>
          </cell>
          <cell r="C36" t="str">
            <v>NA</v>
          </cell>
          <cell r="D36" t="str">
            <v>NA</v>
          </cell>
          <cell r="E36">
            <v>0</v>
          </cell>
          <cell r="F36">
            <v>0</v>
          </cell>
          <cell r="G36">
            <v>0</v>
          </cell>
          <cell r="H36">
            <v>0</v>
          </cell>
        </row>
        <row r="37">
          <cell r="C37">
            <v>0</v>
          </cell>
          <cell r="D37">
            <v>0</v>
          </cell>
          <cell r="E37">
            <v>0</v>
          </cell>
          <cell r="F37">
            <v>0</v>
          </cell>
          <cell r="G37">
            <v>0</v>
          </cell>
        </row>
      </sheetData>
      <sheetData sheetId="3">
        <row r="2">
          <cell r="B2" t="str">
            <v>Police Station</v>
          </cell>
          <cell r="C2" t="str">
            <v>SHO  Remarks</v>
          </cell>
          <cell r="D2" t="str">
            <v>RAW Value</v>
          </cell>
          <cell r="E2" t="str">
            <v>Marks</v>
          </cell>
        </row>
        <row r="3">
          <cell r="B3" t="str">
            <v>Nagayalanka</v>
          </cell>
          <cell r="C3" t="str">
            <v>Submitted</v>
          </cell>
          <cell r="D3">
            <v>100</v>
          </cell>
          <cell r="E3">
            <v>2.5</v>
          </cell>
        </row>
        <row r="4">
          <cell r="B4" t="str">
            <v>Avanigadda</v>
          </cell>
          <cell r="C4" t="str">
            <v>Submitted</v>
          </cell>
          <cell r="D4">
            <v>100</v>
          </cell>
          <cell r="E4">
            <v>2.5</v>
          </cell>
        </row>
        <row r="5">
          <cell r="B5" t="str">
            <v>Koduru</v>
          </cell>
          <cell r="C5" t="str">
            <v>Submitted</v>
          </cell>
          <cell r="D5">
            <v>100</v>
          </cell>
          <cell r="E5">
            <v>2.5</v>
          </cell>
        </row>
        <row r="6">
          <cell r="B6" t="str">
            <v>Challapalli</v>
          </cell>
          <cell r="C6" t="str">
            <v>Submitted</v>
          </cell>
          <cell r="D6">
            <v>100</v>
          </cell>
          <cell r="E6">
            <v>2.5</v>
          </cell>
        </row>
        <row r="7">
          <cell r="B7" t="str">
            <v>Ghantasala</v>
          </cell>
          <cell r="C7" t="str">
            <v>Submitted</v>
          </cell>
          <cell r="D7">
            <v>100</v>
          </cell>
          <cell r="E7">
            <v>2.5</v>
          </cell>
        </row>
        <row r="8">
          <cell r="B8" t="str">
            <v>Gudivada I Town UPS</v>
          </cell>
          <cell r="C8" t="str">
            <v>Submitted</v>
          </cell>
          <cell r="D8">
            <v>100</v>
          </cell>
          <cell r="E8">
            <v>2.5</v>
          </cell>
        </row>
        <row r="9">
          <cell r="B9" t="str">
            <v>Gudivada II Town UPS</v>
          </cell>
          <cell r="C9" t="str">
            <v>Submitted</v>
          </cell>
          <cell r="D9">
            <v>100</v>
          </cell>
          <cell r="E9">
            <v>2.5</v>
          </cell>
        </row>
        <row r="10">
          <cell r="B10" t="str">
            <v>Nandivada</v>
          </cell>
          <cell r="C10" t="str">
            <v>Submitted</v>
          </cell>
          <cell r="D10">
            <v>100</v>
          </cell>
          <cell r="E10">
            <v>2.5</v>
          </cell>
        </row>
        <row r="11">
          <cell r="B11" t="str">
            <v>Gudivada Rural</v>
          </cell>
          <cell r="C11" t="str">
            <v>Submitted</v>
          </cell>
          <cell r="D11">
            <v>100</v>
          </cell>
          <cell r="E11">
            <v>2.5</v>
          </cell>
        </row>
        <row r="12">
          <cell r="B12" t="str">
            <v>Gudlavalleru</v>
          </cell>
          <cell r="C12" t="str">
            <v>Submitted</v>
          </cell>
          <cell r="D12">
            <v>100</v>
          </cell>
          <cell r="E12">
            <v>2.5</v>
          </cell>
        </row>
        <row r="13">
          <cell r="B13" t="str">
            <v>Pedaparupudi</v>
          </cell>
          <cell r="C13" t="str">
            <v>Submitted</v>
          </cell>
          <cell r="D13">
            <v>100</v>
          </cell>
          <cell r="E13">
            <v>2.5</v>
          </cell>
        </row>
        <row r="14">
          <cell r="B14" t="str">
            <v>Pamarru</v>
          </cell>
          <cell r="C14" t="str">
            <v>Submitted</v>
          </cell>
          <cell r="D14">
            <v>100</v>
          </cell>
          <cell r="E14">
            <v>2.5</v>
          </cell>
        </row>
        <row r="15">
          <cell r="B15" t="str">
            <v>Kuchipudi</v>
          </cell>
          <cell r="C15" t="str">
            <v>Submitted</v>
          </cell>
          <cell r="D15">
            <v>100</v>
          </cell>
          <cell r="E15">
            <v>2.5</v>
          </cell>
        </row>
        <row r="16">
          <cell r="B16" t="str">
            <v>Thotlavalluru</v>
          </cell>
          <cell r="C16" t="str">
            <v>Submitted</v>
          </cell>
          <cell r="D16">
            <v>100</v>
          </cell>
          <cell r="E16">
            <v>2.5</v>
          </cell>
        </row>
        <row r="17">
          <cell r="B17" t="str">
            <v>Pamidimukkala</v>
          </cell>
          <cell r="C17" t="str">
            <v>Submitted</v>
          </cell>
          <cell r="D17">
            <v>100</v>
          </cell>
          <cell r="E17">
            <v>2.5</v>
          </cell>
        </row>
        <row r="18">
          <cell r="B18" t="str">
            <v>Vuyyuru Town UPS</v>
          </cell>
          <cell r="C18" t="str">
            <v>Submitted</v>
          </cell>
          <cell r="D18">
            <v>100</v>
          </cell>
          <cell r="E18">
            <v>2.5</v>
          </cell>
        </row>
        <row r="19">
          <cell r="B19" t="str">
            <v>Penamaluru UPS</v>
          </cell>
          <cell r="C19" t="str">
            <v>Submitted</v>
          </cell>
          <cell r="D19">
            <v>100</v>
          </cell>
          <cell r="E19">
            <v>2.5</v>
          </cell>
        </row>
        <row r="20">
          <cell r="B20" t="str">
            <v>Gannavaram UPS</v>
          </cell>
          <cell r="C20" t="str">
            <v>Submitted</v>
          </cell>
          <cell r="D20">
            <v>100</v>
          </cell>
          <cell r="E20">
            <v>2.5</v>
          </cell>
        </row>
        <row r="21">
          <cell r="B21" t="str">
            <v>Unguturu</v>
          </cell>
          <cell r="C21" t="str">
            <v>Submitted</v>
          </cell>
          <cell r="D21">
            <v>100</v>
          </cell>
          <cell r="E21">
            <v>2.5</v>
          </cell>
        </row>
        <row r="22">
          <cell r="B22" t="str">
            <v>Hanuman Junction</v>
          </cell>
          <cell r="C22" t="str">
            <v>Submitted</v>
          </cell>
          <cell r="D22">
            <v>100</v>
          </cell>
          <cell r="E22">
            <v>2.5</v>
          </cell>
        </row>
        <row r="23">
          <cell r="B23" t="str">
            <v>Atkuru</v>
          </cell>
          <cell r="C23" t="str">
            <v>Submitted</v>
          </cell>
          <cell r="D23">
            <v>100</v>
          </cell>
          <cell r="E23">
            <v>2.5</v>
          </cell>
        </row>
        <row r="24">
          <cell r="B24" t="str">
            <v>Veeravalli</v>
          </cell>
          <cell r="C24" t="str">
            <v>Submitted</v>
          </cell>
          <cell r="D24">
            <v>100</v>
          </cell>
          <cell r="E24">
            <v>2.5</v>
          </cell>
        </row>
        <row r="25">
          <cell r="B25" t="str">
            <v>Vuyyuru Rural</v>
          </cell>
          <cell r="C25" t="str">
            <v>Submitted</v>
          </cell>
          <cell r="D25">
            <v>100</v>
          </cell>
          <cell r="E25">
            <v>2.5</v>
          </cell>
        </row>
        <row r="26">
          <cell r="B26" t="str">
            <v>Kankipadu</v>
          </cell>
          <cell r="C26" t="str">
            <v>Submitted</v>
          </cell>
          <cell r="D26">
            <v>100</v>
          </cell>
          <cell r="E26">
            <v>2.5</v>
          </cell>
        </row>
        <row r="27">
          <cell r="B27" t="str">
            <v>Inaguduru UPS</v>
          </cell>
          <cell r="C27" t="str">
            <v>Submitted</v>
          </cell>
          <cell r="D27">
            <v>100</v>
          </cell>
          <cell r="E27">
            <v>2.5</v>
          </cell>
        </row>
        <row r="28">
          <cell r="B28" t="str">
            <v>Chilakalapudi UPS</v>
          </cell>
          <cell r="C28" t="str">
            <v>Submitted</v>
          </cell>
          <cell r="D28">
            <v>100</v>
          </cell>
          <cell r="E28">
            <v>2.5</v>
          </cell>
        </row>
        <row r="29">
          <cell r="B29" t="str">
            <v>Robertsonpet</v>
          </cell>
          <cell r="C29" t="str">
            <v>Submitted</v>
          </cell>
          <cell r="D29">
            <v>100</v>
          </cell>
          <cell r="E29">
            <v>2.5</v>
          </cell>
        </row>
        <row r="30">
          <cell r="B30" t="str">
            <v>Bantumilli</v>
          </cell>
          <cell r="C30" t="str">
            <v>Submitted</v>
          </cell>
          <cell r="D30">
            <v>100</v>
          </cell>
          <cell r="E30">
            <v>2.5</v>
          </cell>
        </row>
        <row r="31">
          <cell r="B31" t="str">
            <v>Guduru</v>
          </cell>
          <cell r="C31" t="str">
            <v>Submitted</v>
          </cell>
          <cell r="D31">
            <v>100</v>
          </cell>
          <cell r="E31">
            <v>2.5</v>
          </cell>
        </row>
        <row r="32">
          <cell r="B32" t="str">
            <v>Pedana</v>
          </cell>
          <cell r="C32" t="str">
            <v>Submitted</v>
          </cell>
          <cell r="D32">
            <v>100</v>
          </cell>
          <cell r="E32">
            <v>2.5</v>
          </cell>
        </row>
        <row r="33">
          <cell r="B33" t="str">
            <v>Kruthivennu</v>
          </cell>
          <cell r="C33" t="str">
            <v>Submitted</v>
          </cell>
          <cell r="D33">
            <v>100</v>
          </cell>
          <cell r="E33">
            <v>2.5</v>
          </cell>
        </row>
        <row r="34">
          <cell r="B34" t="str">
            <v>Bandar Taluk PS</v>
          </cell>
          <cell r="C34" t="str">
            <v>Submitted</v>
          </cell>
          <cell r="D34">
            <v>100</v>
          </cell>
          <cell r="E34">
            <v>2.5</v>
          </cell>
        </row>
        <row r="35">
          <cell r="B35" t="str">
            <v>Machilipatnam Town</v>
          </cell>
          <cell r="C35" t="str">
            <v>Submitted</v>
          </cell>
          <cell r="D35">
            <v>100</v>
          </cell>
          <cell r="E35">
            <v>2.5</v>
          </cell>
        </row>
        <row r="36">
          <cell r="B36" t="str">
            <v>Mahila UPS, Machilipatnam</v>
          </cell>
          <cell r="C36" t="str">
            <v>Submitted</v>
          </cell>
          <cell r="D36">
            <v>100</v>
          </cell>
          <cell r="E36">
            <v>2.5</v>
          </cell>
        </row>
        <row r="37">
          <cell r="D37">
            <v>100</v>
          </cell>
        </row>
      </sheetData>
      <sheetData sheetId="4">
        <row r="2">
          <cell r="B2" t="str">
            <v>PS</v>
          </cell>
          <cell r="C2" t="str">
            <v>FIR</v>
          </cell>
          <cell r="D2" t="str">
            <v>CDF</v>
          </cell>
          <cell r="E2" t="str">
            <v>ACS</v>
          </cell>
          <cell r="F2" t="str">
            <v>PSS</v>
          </cell>
          <cell r="G2" t="str">
            <v>CD PartI</v>
          </cell>
          <cell r="H2" t="str">
            <v>CD Part II</v>
          </cell>
          <cell r="I2" t="str">
            <v xml:space="preserve"> Charge Sheet</v>
          </cell>
          <cell r="J2" t="str">
            <v>Final Report</v>
          </cell>
          <cell r="K2" t="str">
            <v>Court Disposal</v>
          </cell>
          <cell r="L2" t="str">
            <v>41 Crpc</v>
          </cell>
          <cell r="M2" t="str">
            <v>Forms per FIR</v>
          </cell>
          <cell r="N2" t="str">
            <v>Raw Value</v>
          </cell>
          <cell r="O2" t="str">
            <v>MARKS</v>
          </cell>
        </row>
        <row r="3">
          <cell r="B3" t="str">
            <v>Mahila UPS, Machilipatnam</v>
          </cell>
          <cell r="C3">
            <v>722</v>
          </cell>
          <cell r="D3">
            <v>732</v>
          </cell>
          <cell r="E3">
            <v>623</v>
          </cell>
          <cell r="F3">
            <v>0</v>
          </cell>
          <cell r="G3">
            <v>4442</v>
          </cell>
          <cell r="H3">
            <v>6871</v>
          </cell>
          <cell r="I3">
            <v>733</v>
          </cell>
          <cell r="J3">
            <v>31</v>
          </cell>
          <cell r="K3">
            <v>439</v>
          </cell>
          <cell r="L3">
            <v>1964</v>
          </cell>
          <cell r="M3">
            <v>21.93213296398892</v>
          </cell>
          <cell r="N3">
            <v>100</v>
          </cell>
          <cell r="O3">
            <v>2.5</v>
          </cell>
        </row>
        <row r="4">
          <cell r="B4" t="str">
            <v>Avanigadda</v>
          </cell>
          <cell r="C4">
            <v>3053</v>
          </cell>
          <cell r="D4">
            <v>3056</v>
          </cell>
          <cell r="E4">
            <v>2262</v>
          </cell>
          <cell r="F4">
            <v>253</v>
          </cell>
          <cell r="G4">
            <v>13440</v>
          </cell>
          <cell r="H4">
            <v>22985</v>
          </cell>
          <cell r="I4">
            <v>2922</v>
          </cell>
          <cell r="J4">
            <v>1216</v>
          </cell>
          <cell r="K4">
            <v>2380</v>
          </cell>
          <cell r="L4">
            <v>3525</v>
          </cell>
          <cell r="M4">
            <v>17.045201441205371</v>
          </cell>
          <cell r="N4">
            <v>100</v>
          </cell>
          <cell r="O4">
            <v>2.5</v>
          </cell>
        </row>
        <row r="5">
          <cell r="B5" t="str">
            <v>Koduru</v>
          </cell>
          <cell r="C5">
            <v>2510</v>
          </cell>
          <cell r="D5">
            <v>2517</v>
          </cell>
          <cell r="E5">
            <v>2859</v>
          </cell>
          <cell r="F5">
            <v>413</v>
          </cell>
          <cell r="G5">
            <v>18017</v>
          </cell>
          <cell r="H5">
            <v>14684</v>
          </cell>
          <cell r="I5">
            <v>2296</v>
          </cell>
          <cell r="J5">
            <v>861</v>
          </cell>
          <cell r="K5">
            <v>1929</v>
          </cell>
          <cell r="L5">
            <v>2887</v>
          </cell>
          <cell r="M5">
            <v>18.511155378486055</v>
          </cell>
          <cell r="N5">
            <v>100</v>
          </cell>
          <cell r="O5">
            <v>2.5</v>
          </cell>
        </row>
        <row r="6">
          <cell r="B6" t="str">
            <v>Nagayalanka</v>
          </cell>
          <cell r="C6">
            <v>2208</v>
          </cell>
          <cell r="D6">
            <v>2306</v>
          </cell>
          <cell r="E6">
            <v>2479</v>
          </cell>
          <cell r="F6">
            <v>792</v>
          </cell>
          <cell r="G6">
            <v>14411</v>
          </cell>
          <cell r="H6">
            <v>13287</v>
          </cell>
          <cell r="I6">
            <v>2028</v>
          </cell>
          <cell r="J6">
            <v>806</v>
          </cell>
          <cell r="K6">
            <v>1724</v>
          </cell>
          <cell r="L6">
            <v>2634</v>
          </cell>
          <cell r="M6">
            <v>18.327445652173914</v>
          </cell>
          <cell r="N6">
            <v>100</v>
          </cell>
          <cell r="O6">
            <v>2.5</v>
          </cell>
        </row>
        <row r="7">
          <cell r="B7" t="str">
            <v>Challapalli</v>
          </cell>
          <cell r="C7">
            <v>4149</v>
          </cell>
          <cell r="D7">
            <v>4217</v>
          </cell>
          <cell r="E7">
            <v>4182</v>
          </cell>
          <cell r="F7">
            <v>300</v>
          </cell>
          <cell r="G7">
            <v>17748</v>
          </cell>
          <cell r="H7">
            <v>29139</v>
          </cell>
          <cell r="I7">
            <v>4272</v>
          </cell>
          <cell r="J7">
            <v>1204</v>
          </cell>
          <cell r="K7">
            <v>3129</v>
          </cell>
          <cell r="L7">
            <v>5208</v>
          </cell>
          <cell r="M7">
            <v>16.726681127982648</v>
          </cell>
          <cell r="N7">
            <v>99.8</v>
          </cell>
          <cell r="O7">
            <v>2.4950000000000001</v>
          </cell>
        </row>
        <row r="8">
          <cell r="B8" t="str">
            <v>Ghantasala</v>
          </cell>
          <cell r="C8">
            <v>2148</v>
          </cell>
          <cell r="D8">
            <v>2174</v>
          </cell>
          <cell r="E8">
            <v>2863</v>
          </cell>
          <cell r="F8">
            <v>209</v>
          </cell>
          <cell r="G8">
            <v>15054</v>
          </cell>
          <cell r="H8">
            <v>16445</v>
          </cell>
          <cell r="I8">
            <v>2309</v>
          </cell>
          <cell r="J8">
            <v>723</v>
          </cell>
          <cell r="K8">
            <v>1993</v>
          </cell>
          <cell r="L8">
            <v>2529</v>
          </cell>
          <cell r="M8">
            <v>20.623370577281193</v>
          </cell>
          <cell r="N8">
            <v>100</v>
          </cell>
          <cell r="O8">
            <v>2.5</v>
          </cell>
        </row>
        <row r="9">
          <cell r="B9" t="str">
            <v>Chilakalapudi UPS</v>
          </cell>
          <cell r="C9">
            <v>3241</v>
          </cell>
          <cell r="D9">
            <v>3231</v>
          </cell>
          <cell r="E9">
            <v>1454</v>
          </cell>
          <cell r="F9">
            <v>1552</v>
          </cell>
          <cell r="G9">
            <v>12886</v>
          </cell>
          <cell r="H9">
            <v>24528</v>
          </cell>
          <cell r="I9">
            <v>2528</v>
          </cell>
          <cell r="J9">
            <v>1575</v>
          </cell>
          <cell r="K9">
            <v>2368</v>
          </cell>
          <cell r="L9">
            <v>3692</v>
          </cell>
          <cell r="M9">
            <v>16.604134526380747</v>
          </cell>
          <cell r="N9">
            <v>99.07</v>
          </cell>
          <cell r="O9">
            <v>2.47675</v>
          </cell>
        </row>
        <row r="10">
          <cell r="B10" t="str">
            <v>Inaguduru UPS</v>
          </cell>
          <cell r="C10">
            <v>2656</v>
          </cell>
          <cell r="D10">
            <v>2926</v>
          </cell>
          <cell r="E10">
            <v>2896</v>
          </cell>
          <cell r="F10">
            <v>1602</v>
          </cell>
          <cell r="G10">
            <v>19255</v>
          </cell>
          <cell r="H10">
            <v>27888</v>
          </cell>
          <cell r="I10">
            <v>2482</v>
          </cell>
          <cell r="J10">
            <v>1001</v>
          </cell>
          <cell r="K10">
            <v>2064</v>
          </cell>
          <cell r="L10">
            <v>3045</v>
          </cell>
          <cell r="M10">
            <v>23.779743975903614</v>
          </cell>
          <cell r="N10">
            <v>100</v>
          </cell>
          <cell r="O10">
            <v>2.5</v>
          </cell>
        </row>
        <row r="11">
          <cell r="B11" t="str">
            <v>Robertsonpet</v>
          </cell>
          <cell r="C11">
            <v>2226</v>
          </cell>
          <cell r="D11">
            <v>2341</v>
          </cell>
          <cell r="E11">
            <v>3290</v>
          </cell>
          <cell r="F11">
            <v>817</v>
          </cell>
          <cell r="G11">
            <v>11758</v>
          </cell>
          <cell r="H11">
            <v>20251</v>
          </cell>
          <cell r="I11">
            <v>2181</v>
          </cell>
          <cell r="J11">
            <v>727</v>
          </cell>
          <cell r="K11">
            <v>1989</v>
          </cell>
          <cell r="L11">
            <v>2968</v>
          </cell>
          <cell r="M11">
            <v>20.80952380952381</v>
          </cell>
          <cell r="N11">
            <v>100</v>
          </cell>
          <cell r="O11">
            <v>2.5</v>
          </cell>
        </row>
        <row r="12">
          <cell r="B12" t="str">
            <v>Bantumilli</v>
          </cell>
          <cell r="C12">
            <v>3075</v>
          </cell>
          <cell r="D12">
            <v>3105</v>
          </cell>
          <cell r="E12">
            <v>2266</v>
          </cell>
          <cell r="F12">
            <v>95</v>
          </cell>
          <cell r="G12">
            <v>12577</v>
          </cell>
          <cell r="H12">
            <v>20857</v>
          </cell>
          <cell r="I12">
            <v>2716</v>
          </cell>
          <cell r="J12">
            <v>780</v>
          </cell>
          <cell r="K12">
            <v>2399</v>
          </cell>
          <cell r="L12">
            <v>4336</v>
          </cell>
          <cell r="M12">
            <v>15.977560975609757</v>
          </cell>
          <cell r="N12">
            <v>95.33</v>
          </cell>
          <cell r="O12">
            <v>2.3832499999999999</v>
          </cell>
        </row>
        <row r="13">
          <cell r="B13" t="str">
            <v>Guduru</v>
          </cell>
          <cell r="C13">
            <v>2846</v>
          </cell>
          <cell r="D13">
            <v>2889</v>
          </cell>
          <cell r="E13">
            <v>1987</v>
          </cell>
          <cell r="F13">
            <v>61</v>
          </cell>
          <cell r="G13">
            <v>14663</v>
          </cell>
          <cell r="H13">
            <v>17575</v>
          </cell>
          <cell r="I13">
            <v>2581</v>
          </cell>
          <cell r="J13">
            <v>723</v>
          </cell>
          <cell r="K13">
            <v>2242</v>
          </cell>
          <cell r="L13">
            <v>4869</v>
          </cell>
          <cell r="M13">
            <v>16.721714687280393</v>
          </cell>
          <cell r="N13">
            <v>99.77</v>
          </cell>
          <cell r="O13">
            <v>2.4942500000000001</v>
          </cell>
        </row>
        <row r="14">
          <cell r="B14" t="str">
            <v>Kruthivennu</v>
          </cell>
          <cell r="C14">
            <v>2804</v>
          </cell>
          <cell r="D14">
            <v>2651</v>
          </cell>
          <cell r="E14">
            <v>2225</v>
          </cell>
          <cell r="F14">
            <v>61</v>
          </cell>
          <cell r="G14">
            <v>11924</v>
          </cell>
          <cell r="H14">
            <v>18161</v>
          </cell>
          <cell r="I14">
            <v>2471</v>
          </cell>
          <cell r="J14">
            <v>669</v>
          </cell>
          <cell r="K14">
            <v>1945</v>
          </cell>
          <cell r="L14">
            <v>3558</v>
          </cell>
          <cell r="M14">
            <v>15.572396576319543</v>
          </cell>
          <cell r="N14">
            <v>92.91</v>
          </cell>
          <cell r="O14">
            <v>2.3227500000000001</v>
          </cell>
        </row>
        <row r="15">
          <cell r="B15" t="str">
            <v>Pedana</v>
          </cell>
          <cell r="C15">
            <v>3215</v>
          </cell>
          <cell r="D15">
            <v>3176</v>
          </cell>
          <cell r="E15">
            <v>2553</v>
          </cell>
          <cell r="F15">
            <v>101</v>
          </cell>
          <cell r="G15">
            <v>15251</v>
          </cell>
          <cell r="H15">
            <v>26740</v>
          </cell>
          <cell r="I15">
            <v>2791</v>
          </cell>
          <cell r="J15">
            <v>979</v>
          </cell>
          <cell r="K15">
            <v>2410</v>
          </cell>
          <cell r="L15">
            <v>5105</v>
          </cell>
          <cell r="M15">
            <v>18.384447900466562</v>
          </cell>
          <cell r="N15">
            <v>100</v>
          </cell>
          <cell r="O15">
            <v>2.5</v>
          </cell>
        </row>
        <row r="16">
          <cell r="B16" t="str">
            <v>Bandar Taluk PS</v>
          </cell>
          <cell r="C16">
            <v>4443</v>
          </cell>
          <cell r="D16">
            <v>4305</v>
          </cell>
          <cell r="E16">
            <v>2961</v>
          </cell>
          <cell r="F16">
            <v>421</v>
          </cell>
          <cell r="G16">
            <v>18722</v>
          </cell>
          <cell r="H16">
            <v>26168</v>
          </cell>
          <cell r="I16">
            <v>3603</v>
          </cell>
          <cell r="J16">
            <v>1531</v>
          </cell>
          <cell r="K16">
            <v>3374</v>
          </cell>
          <cell r="L16">
            <v>5791</v>
          </cell>
          <cell r="M16">
            <v>15.051991897366644</v>
          </cell>
          <cell r="N16">
            <v>89.81</v>
          </cell>
          <cell r="O16">
            <v>2.24525</v>
          </cell>
        </row>
        <row r="17">
          <cell r="B17" t="str">
            <v>Machilipatnam Town</v>
          </cell>
          <cell r="C17">
            <v>1791</v>
          </cell>
          <cell r="D17">
            <v>1861</v>
          </cell>
          <cell r="E17">
            <v>1616</v>
          </cell>
          <cell r="F17">
            <v>1477</v>
          </cell>
          <cell r="G17">
            <v>10675</v>
          </cell>
          <cell r="H17">
            <v>13639</v>
          </cell>
          <cell r="I17">
            <v>1375</v>
          </cell>
          <cell r="J17">
            <v>587</v>
          </cell>
          <cell r="K17">
            <v>1334</v>
          </cell>
          <cell r="L17">
            <v>2062</v>
          </cell>
          <cell r="M17">
            <v>19.333333333333332</v>
          </cell>
          <cell r="N17">
            <v>100</v>
          </cell>
          <cell r="O17">
            <v>2.5</v>
          </cell>
        </row>
        <row r="18">
          <cell r="B18" t="str">
            <v>Gannavaram UPS</v>
          </cell>
          <cell r="C18">
            <v>5575</v>
          </cell>
          <cell r="D18">
            <v>5228</v>
          </cell>
          <cell r="E18">
            <v>5305</v>
          </cell>
          <cell r="F18">
            <v>360</v>
          </cell>
          <cell r="G18">
            <v>16457</v>
          </cell>
          <cell r="H18">
            <v>25323</v>
          </cell>
          <cell r="I18">
            <v>5690</v>
          </cell>
          <cell r="J18">
            <v>2552</v>
          </cell>
          <cell r="K18">
            <v>4841</v>
          </cell>
          <cell r="L18">
            <v>6572</v>
          </cell>
          <cell r="M18">
            <v>12.973632286995516</v>
          </cell>
          <cell r="N18">
            <v>77.41</v>
          </cell>
          <cell r="O18">
            <v>1.9352499999999999</v>
          </cell>
        </row>
        <row r="19">
          <cell r="B19" t="str">
            <v>Penamaluru UPS</v>
          </cell>
          <cell r="C19">
            <v>10374</v>
          </cell>
          <cell r="D19">
            <v>10248</v>
          </cell>
          <cell r="E19">
            <v>6435</v>
          </cell>
          <cell r="F19">
            <v>709</v>
          </cell>
          <cell r="G19">
            <v>35963</v>
          </cell>
          <cell r="H19">
            <v>51042</v>
          </cell>
          <cell r="I19">
            <v>7105</v>
          </cell>
          <cell r="J19">
            <v>4584</v>
          </cell>
          <cell r="K19">
            <v>6874</v>
          </cell>
          <cell r="L19">
            <v>12007</v>
          </cell>
          <cell r="M19">
            <v>13.010121457489879</v>
          </cell>
          <cell r="N19">
            <v>77.62</v>
          </cell>
          <cell r="O19">
            <v>1.9405000000000001</v>
          </cell>
        </row>
        <row r="20">
          <cell r="B20" t="str">
            <v>Vuyyuru Town UPS</v>
          </cell>
          <cell r="C20">
            <v>2782</v>
          </cell>
          <cell r="D20">
            <v>2616</v>
          </cell>
          <cell r="E20">
            <v>1630</v>
          </cell>
          <cell r="F20">
            <v>380</v>
          </cell>
          <cell r="G20">
            <v>7139</v>
          </cell>
          <cell r="H20">
            <v>14383</v>
          </cell>
          <cell r="I20">
            <v>2761</v>
          </cell>
          <cell r="J20">
            <v>1399</v>
          </cell>
          <cell r="K20">
            <v>2238</v>
          </cell>
          <cell r="L20">
            <v>3242</v>
          </cell>
          <cell r="M20">
            <v>12.86412652767793</v>
          </cell>
          <cell r="N20">
            <v>76.75</v>
          </cell>
          <cell r="O20">
            <v>1.9187500000000002</v>
          </cell>
        </row>
        <row r="21">
          <cell r="B21" t="str">
            <v>Unguturu</v>
          </cell>
          <cell r="C21">
            <v>2352</v>
          </cell>
          <cell r="D21">
            <v>1876</v>
          </cell>
          <cell r="E21">
            <v>1633</v>
          </cell>
          <cell r="F21">
            <v>145</v>
          </cell>
          <cell r="G21">
            <v>2616</v>
          </cell>
          <cell r="H21">
            <v>7801</v>
          </cell>
          <cell r="I21">
            <v>2072</v>
          </cell>
          <cell r="J21">
            <v>1001</v>
          </cell>
          <cell r="K21">
            <v>1932</v>
          </cell>
          <cell r="L21">
            <v>1886</v>
          </cell>
          <cell r="M21">
            <v>8.9124149659863949</v>
          </cell>
          <cell r="N21">
            <v>53.17</v>
          </cell>
          <cell r="O21">
            <v>1.32925</v>
          </cell>
        </row>
        <row r="22">
          <cell r="B22" t="str">
            <v>Atkuru</v>
          </cell>
          <cell r="C22">
            <v>2006</v>
          </cell>
          <cell r="D22">
            <v>1545</v>
          </cell>
          <cell r="E22">
            <v>328</v>
          </cell>
          <cell r="F22">
            <v>121</v>
          </cell>
          <cell r="G22">
            <v>3702</v>
          </cell>
          <cell r="H22">
            <v>8830</v>
          </cell>
          <cell r="I22">
            <v>1506</v>
          </cell>
          <cell r="J22">
            <v>546</v>
          </cell>
          <cell r="K22">
            <v>1231</v>
          </cell>
          <cell r="L22">
            <v>2417</v>
          </cell>
          <cell r="M22">
            <v>10.082751744765703</v>
          </cell>
          <cell r="N22">
            <v>60.16</v>
          </cell>
          <cell r="O22">
            <v>1.504</v>
          </cell>
        </row>
        <row r="23">
          <cell r="B23" t="str">
            <v>Hanuman Junction</v>
          </cell>
          <cell r="C23">
            <v>4139</v>
          </cell>
          <cell r="D23">
            <v>4399</v>
          </cell>
          <cell r="E23">
            <v>2880</v>
          </cell>
          <cell r="F23">
            <v>244</v>
          </cell>
          <cell r="G23">
            <v>21476</v>
          </cell>
          <cell r="H23">
            <v>28538</v>
          </cell>
          <cell r="I23">
            <v>3514</v>
          </cell>
          <cell r="J23">
            <v>1281</v>
          </cell>
          <cell r="K23">
            <v>3610</v>
          </cell>
          <cell r="L23">
            <v>4663</v>
          </cell>
          <cell r="M23">
            <v>17.05846822904083</v>
          </cell>
          <cell r="N23">
            <v>100</v>
          </cell>
          <cell r="O23">
            <v>2.5</v>
          </cell>
        </row>
        <row r="24">
          <cell r="B24" t="str">
            <v>Veeravalli</v>
          </cell>
          <cell r="C24">
            <v>2919</v>
          </cell>
          <cell r="D24">
            <v>2934</v>
          </cell>
          <cell r="E24">
            <v>1706</v>
          </cell>
          <cell r="F24">
            <v>175</v>
          </cell>
          <cell r="G24">
            <v>16838</v>
          </cell>
          <cell r="H24">
            <v>21836</v>
          </cell>
          <cell r="I24">
            <v>2627</v>
          </cell>
          <cell r="J24">
            <v>750</v>
          </cell>
          <cell r="K24">
            <v>2755</v>
          </cell>
          <cell r="L24">
            <v>3549</v>
          </cell>
          <cell r="M24">
            <v>18.215142171976705</v>
          </cell>
          <cell r="N24">
            <v>100</v>
          </cell>
          <cell r="O24">
            <v>2.5</v>
          </cell>
        </row>
        <row r="25">
          <cell r="B25" t="str">
            <v>Kankipadu</v>
          </cell>
          <cell r="C25">
            <v>4393</v>
          </cell>
          <cell r="D25">
            <v>3963</v>
          </cell>
          <cell r="E25">
            <v>3515</v>
          </cell>
          <cell r="F25">
            <v>364</v>
          </cell>
          <cell r="G25">
            <v>12733</v>
          </cell>
          <cell r="H25">
            <v>25775</v>
          </cell>
          <cell r="I25">
            <v>4599</v>
          </cell>
          <cell r="J25">
            <v>1762</v>
          </cell>
          <cell r="K25">
            <v>3952</v>
          </cell>
          <cell r="L25">
            <v>5718</v>
          </cell>
          <cell r="M25">
            <v>14.200091053949466</v>
          </cell>
          <cell r="N25">
            <v>84.72</v>
          </cell>
          <cell r="O25">
            <v>2.1179999999999999</v>
          </cell>
        </row>
        <row r="26">
          <cell r="B26" t="str">
            <v>Vuyyuru Rural</v>
          </cell>
          <cell r="C26">
            <v>1799</v>
          </cell>
          <cell r="D26">
            <v>1782</v>
          </cell>
          <cell r="E26">
            <v>940</v>
          </cell>
          <cell r="F26">
            <v>74</v>
          </cell>
          <cell r="G26">
            <v>4068</v>
          </cell>
          <cell r="H26">
            <v>9109</v>
          </cell>
          <cell r="I26">
            <v>1719</v>
          </cell>
          <cell r="J26">
            <v>810</v>
          </cell>
          <cell r="K26">
            <v>1487</v>
          </cell>
          <cell r="L26">
            <v>2740</v>
          </cell>
          <cell r="M26">
            <v>12.634241245136186</v>
          </cell>
          <cell r="N26">
            <v>75.38</v>
          </cell>
          <cell r="O26">
            <v>1.8845000000000001</v>
          </cell>
        </row>
        <row r="27">
          <cell r="B27" t="str">
            <v>Gudivada I Town UPS</v>
          </cell>
          <cell r="C27">
            <v>3467</v>
          </cell>
          <cell r="D27">
            <v>3387</v>
          </cell>
          <cell r="E27">
            <v>4192</v>
          </cell>
          <cell r="F27">
            <v>695</v>
          </cell>
          <cell r="G27">
            <v>15449</v>
          </cell>
          <cell r="H27">
            <v>23937</v>
          </cell>
          <cell r="I27">
            <v>3830</v>
          </cell>
          <cell r="J27">
            <v>1286</v>
          </cell>
          <cell r="K27">
            <v>3038</v>
          </cell>
          <cell r="L27">
            <v>3820</v>
          </cell>
          <cell r="M27">
            <v>17.200461494087108</v>
          </cell>
          <cell r="N27">
            <v>100</v>
          </cell>
          <cell r="O27">
            <v>2.5</v>
          </cell>
        </row>
        <row r="28">
          <cell r="B28" t="str">
            <v>Gudivada II Town UPS</v>
          </cell>
          <cell r="C28">
            <v>3262</v>
          </cell>
          <cell r="D28">
            <v>3158</v>
          </cell>
          <cell r="E28">
            <v>2706</v>
          </cell>
          <cell r="F28">
            <v>426</v>
          </cell>
          <cell r="G28">
            <v>24020</v>
          </cell>
          <cell r="H28">
            <v>25984</v>
          </cell>
          <cell r="I28">
            <v>3691</v>
          </cell>
          <cell r="J28">
            <v>1277</v>
          </cell>
          <cell r="K28">
            <v>2965</v>
          </cell>
          <cell r="L28">
            <v>3691</v>
          </cell>
          <cell r="M28">
            <v>20.820968730839976</v>
          </cell>
          <cell r="N28">
            <v>100</v>
          </cell>
          <cell r="O28">
            <v>2.5</v>
          </cell>
        </row>
        <row r="29">
          <cell r="B29" t="str">
            <v>Gudivada Rural</v>
          </cell>
          <cell r="C29">
            <v>2472</v>
          </cell>
          <cell r="D29">
            <v>2667</v>
          </cell>
          <cell r="E29">
            <v>2348</v>
          </cell>
          <cell r="F29">
            <v>229</v>
          </cell>
          <cell r="G29">
            <v>17858</v>
          </cell>
          <cell r="H29">
            <v>18457</v>
          </cell>
          <cell r="I29">
            <v>2541</v>
          </cell>
          <cell r="J29">
            <v>761</v>
          </cell>
          <cell r="K29">
            <v>2292</v>
          </cell>
          <cell r="L29">
            <v>3649</v>
          </cell>
          <cell r="M29">
            <v>20.550970873786408</v>
          </cell>
          <cell r="N29">
            <v>100</v>
          </cell>
          <cell r="O29">
            <v>2.5</v>
          </cell>
        </row>
        <row r="30">
          <cell r="B30" t="str">
            <v>Gudlavalleru</v>
          </cell>
          <cell r="C30">
            <v>2460</v>
          </cell>
          <cell r="D30">
            <v>2424</v>
          </cell>
          <cell r="E30">
            <v>1768</v>
          </cell>
          <cell r="F30">
            <v>133</v>
          </cell>
          <cell r="G30">
            <v>13310</v>
          </cell>
          <cell r="H30">
            <v>16617</v>
          </cell>
          <cell r="I30">
            <v>2323</v>
          </cell>
          <cell r="J30">
            <v>777</v>
          </cell>
          <cell r="K30">
            <v>2395</v>
          </cell>
          <cell r="L30">
            <v>3355</v>
          </cell>
          <cell r="M30">
            <v>17.521138211382112</v>
          </cell>
          <cell r="N30">
            <v>100</v>
          </cell>
          <cell r="O30">
            <v>2.5</v>
          </cell>
        </row>
        <row r="31">
          <cell r="B31" t="str">
            <v>Nandivada</v>
          </cell>
          <cell r="C31">
            <v>2155</v>
          </cell>
          <cell r="D31">
            <v>2313</v>
          </cell>
          <cell r="E31">
            <v>2572</v>
          </cell>
          <cell r="F31">
            <v>243</v>
          </cell>
          <cell r="G31">
            <v>15390</v>
          </cell>
          <cell r="H31">
            <v>15863</v>
          </cell>
          <cell r="I31">
            <v>1923</v>
          </cell>
          <cell r="J31">
            <v>668</v>
          </cell>
          <cell r="K31">
            <v>2202</v>
          </cell>
          <cell r="L31">
            <v>3646</v>
          </cell>
          <cell r="M31">
            <v>20.798143851508122</v>
          </cell>
          <cell r="N31">
            <v>100</v>
          </cell>
          <cell r="O31">
            <v>2.5</v>
          </cell>
        </row>
        <row r="32">
          <cell r="B32" t="str">
            <v>Kuchipudi</v>
          </cell>
          <cell r="C32">
            <v>2598</v>
          </cell>
          <cell r="D32">
            <v>2628</v>
          </cell>
          <cell r="E32">
            <v>3181</v>
          </cell>
          <cell r="F32">
            <v>261</v>
          </cell>
          <cell r="G32">
            <v>11101</v>
          </cell>
          <cell r="H32">
            <v>13685</v>
          </cell>
          <cell r="I32">
            <v>2769</v>
          </cell>
          <cell r="J32">
            <v>774</v>
          </cell>
          <cell r="K32">
            <v>2183</v>
          </cell>
          <cell r="L32">
            <v>3176</v>
          </cell>
          <cell r="M32">
            <v>15.303310238645112</v>
          </cell>
          <cell r="N32">
            <v>91.31</v>
          </cell>
          <cell r="O32">
            <v>2.2827500000000001</v>
          </cell>
        </row>
        <row r="33">
          <cell r="B33" t="str">
            <v>Pamarru</v>
          </cell>
          <cell r="C33">
            <v>3116</v>
          </cell>
          <cell r="D33">
            <v>3130</v>
          </cell>
          <cell r="E33">
            <v>1552</v>
          </cell>
          <cell r="F33">
            <v>283</v>
          </cell>
          <cell r="G33">
            <v>27827</v>
          </cell>
          <cell r="H33">
            <v>20670</v>
          </cell>
          <cell r="I33">
            <v>2778</v>
          </cell>
          <cell r="J33">
            <v>967</v>
          </cell>
          <cell r="K33">
            <v>2784</v>
          </cell>
          <cell r="L33">
            <v>5208</v>
          </cell>
          <cell r="M33">
            <v>20.923940949935815</v>
          </cell>
          <cell r="N33">
            <v>100</v>
          </cell>
          <cell r="O33">
            <v>2.5</v>
          </cell>
        </row>
        <row r="34">
          <cell r="B34" t="str">
            <v>Pedaparupudi</v>
          </cell>
          <cell r="C34">
            <v>1889</v>
          </cell>
          <cell r="D34">
            <v>1893</v>
          </cell>
          <cell r="E34">
            <v>857</v>
          </cell>
          <cell r="F34">
            <v>109</v>
          </cell>
          <cell r="G34">
            <v>9217</v>
          </cell>
          <cell r="H34">
            <v>17782</v>
          </cell>
          <cell r="I34">
            <v>1518</v>
          </cell>
          <cell r="J34">
            <v>557</v>
          </cell>
          <cell r="K34">
            <v>1708</v>
          </cell>
          <cell r="L34">
            <v>2333</v>
          </cell>
          <cell r="M34">
            <v>19.043938591847539</v>
          </cell>
          <cell r="N34">
            <v>100</v>
          </cell>
          <cell r="O34">
            <v>2.5</v>
          </cell>
        </row>
        <row r="35">
          <cell r="B35" t="str">
            <v>Pamidimukkala</v>
          </cell>
          <cell r="C35">
            <v>2951</v>
          </cell>
          <cell r="D35">
            <v>2198</v>
          </cell>
          <cell r="E35">
            <v>1740</v>
          </cell>
          <cell r="F35">
            <v>156</v>
          </cell>
          <cell r="G35">
            <v>7227</v>
          </cell>
          <cell r="H35">
            <v>11933</v>
          </cell>
          <cell r="I35">
            <v>2194</v>
          </cell>
          <cell r="J35">
            <v>835</v>
          </cell>
          <cell r="K35">
            <v>2273</v>
          </cell>
          <cell r="L35">
            <v>3708</v>
          </cell>
          <cell r="M35">
            <v>10.93324296848526</v>
          </cell>
          <cell r="N35">
            <v>65.23</v>
          </cell>
          <cell r="O35">
            <v>1.6307500000000001</v>
          </cell>
        </row>
        <row r="36">
          <cell r="B36" t="str">
            <v>Thotlavalluru</v>
          </cell>
          <cell r="C36">
            <v>2309</v>
          </cell>
          <cell r="D36">
            <v>2219</v>
          </cell>
          <cell r="E36">
            <v>969</v>
          </cell>
          <cell r="F36">
            <v>183</v>
          </cell>
          <cell r="G36">
            <v>5965</v>
          </cell>
          <cell r="H36">
            <v>8897</v>
          </cell>
          <cell r="I36">
            <v>2208</v>
          </cell>
          <cell r="J36">
            <v>769</v>
          </cell>
          <cell r="K36">
            <v>1920</v>
          </cell>
          <cell r="L36">
            <v>3220</v>
          </cell>
          <cell r="M36">
            <v>11.411866608921612</v>
          </cell>
          <cell r="N36">
            <v>68.09</v>
          </cell>
          <cell r="O36">
            <v>1.7022500000000003</v>
          </cell>
        </row>
        <row r="37">
          <cell r="C37">
            <v>104105</v>
          </cell>
          <cell r="D37">
            <v>102095</v>
          </cell>
          <cell r="E37">
            <v>82773</v>
          </cell>
          <cell r="F37">
            <v>13444</v>
          </cell>
          <cell r="G37">
            <v>479179</v>
          </cell>
          <cell r="H37">
            <v>665680</v>
          </cell>
          <cell r="I37">
            <v>94656</v>
          </cell>
          <cell r="J37">
            <v>36769</v>
          </cell>
          <cell r="K37">
            <v>84399</v>
          </cell>
          <cell r="L37">
            <v>132773</v>
          </cell>
          <cell r="M37">
            <v>16.760582559581184</v>
          </cell>
          <cell r="N37">
            <v>91.368529411764726</v>
          </cell>
          <cell r="O37">
            <v>2.2842132352941182</v>
          </cell>
        </row>
      </sheetData>
      <sheetData sheetId="5">
        <row r="2">
          <cell r="B2" t="str">
            <v>PS</v>
          </cell>
          <cell r="C2" t="str">
            <v>FIR</v>
          </cell>
          <cell r="D2" t="str">
            <v>CDF</v>
          </cell>
          <cell r="E2" t="str">
            <v>ACS</v>
          </cell>
          <cell r="F2" t="str">
            <v>PSS</v>
          </cell>
          <cell r="G2" t="str">
            <v>CD PartI</v>
          </cell>
          <cell r="H2" t="str">
            <v>CD Part II</v>
          </cell>
          <cell r="I2" t="str">
            <v xml:space="preserve"> Charge Sheet</v>
          </cell>
          <cell r="J2" t="str">
            <v>Final Report</v>
          </cell>
          <cell r="K2" t="str">
            <v>Court Disposal</v>
          </cell>
          <cell r="L2" t="str">
            <v>41 Crpc</v>
          </cell>
          <cell r="M2" t="str">
            <v>Forms per FIR</v>
          </cell>
          <cell r="N2" t="str">
            <v>Raw Value</v>
          </cell>
          <cell r="O2" t="str">
            <v>MARKS</v>
          </cell>
        </row>
        <row r="3">
          <cell r="B3" t="str">
            <v>Mahila UPS, Machilipatnam</v>
          </cell>
          <cell r="C3">
            <v>0</v>
          </cell>
          <cell r="D3">
            <v>0</v>
          </cell>
          <cell r="E3">
            <v>0</v>
          </cell>
          <cell r="F3">
            <v>0</v>
          </cell>
          <cell r="G3">
            <v>0</v>
          </cell>
          <cell r="H3">
            <v>0</v>
          </cell>
          <cell r="I3">
            <v>0</v>
          </cell>
          <cell r="J3">
            <v>0</v>
          </cell>
          <cell r="K3">
            <v>0</v>
          </cell>
          <cell r="L3">
            <v>0</v>
          </cell>
          <cell r="M3">
            <v>0</v>
          </cell>
          <cell r="N3">
            <v>50</v>
          </cell>
          <cell r="O3">
            <v>1.25</v>
          </cell>
        </row>
        <row r="4">
          <cell r="B4" t="str">
            <v>Inaguduru UPS</v>
          </cell>
          <cell r="C4">
            <v>0</v>
          </cell>
          <cell r="D4">
            <v>0</v>
          </cell>
          <cell r="E4">
            <v>0</v>
          </cell>
          <cell r="F4">
            <v>0</v>
          </cell>
          <cell r="G4">
            <v>0</v>
          </cell>
          <cell r="H4">
            <v>0</v>
          </cell>
          <cell r="I4">
            <v>0</v>
          </cell>
          <cell r="J4">
            <v>0</v>
          </cell>
          <cell r="K4">
            <v>0</v>
          </cell>
          <cell r="L4">
            <v>0</v>
          </cell>
          <cell r="M4">
            <v>0</v>
          </cell>
          <cell r="N4">
            <v>50</v>
          </cell>
          <cell r="O4">
            <v>1.25</v>
          </cell>
        </row>
        <row r="5">
          <cell r="B5" t="str">
            <v>Unguturu</v>
          </cell>
          <cell r="C5">
            <v>0</v>
          </cell>
          <cell r="D5">
            <v>0</v>
          </cell>
          <cell r="E5">
            <v>0</v>
          </cell>
          <cell r="F5">
            <v>0</v>
          </cell>
          <cell r="G5">
            <v>0</v>
          </cell>
          <cell r="H5">
            <v>0</v>
          </cell>
          <cell r="I5">
            <v>0</v>
          </cell>
          <cell r="J5">
            <v>0</v>
          </cell>
          <cell r="K5">
            <v>0</v>
          </cell>
          <cell r="L5">
            <v>0</v>
          </cell>
          <cell r="M5">
            <v>0</v>
          </cell>
          <cell r="N5">
            <v>50</v>
          </cell>
          <cell r="O5">
            <v>1.25</v>
          </cell>
        </row>
        <row r="6">
          <cell r="B6" t="str">
            <v>Gudlavalleru</v>
          </cell>
          <cell r="C6">
            <v>0</v>
          </cell>
          <cell r="D6">
            <v>0</v>
          </cell>
          <cell r="E6">
            <v>0</v>
          </cell>
          <cell r="F6">
            <v>0</v>
          </cell>
          <cell r="G6">
            <v>0</v>
          </cell>
          <cell r="H6">
            <v>0</v>
          </cell>
          <cell r="I6">
            <v>0</v>
          </cell>
          <cell r="J6">
            <v>0</v>
          </cell>
          <cell r="K6">
            <v>0</v>
          </cell>
          <cell r="L6">
            <v>0</v>
          </cell>
          <cell r="M6">
            <v>0</v>
          </cell>
          <cell r="N6">
            <v>50</v>
          </cell>
          <cell r="O6">
            <v>1.25</v>
          </cell>
        </row>
        <row r="7">
          <cell r="B7" t="str">
            <v>Kruthivennu</v>
          </cell>
          <cell r="C7">
            <v>1</v>
          </cell>
          <cell r="D7">
            <v>1</v>
          </cell>
          <cell r="E7">
            <v>0</v>
          </cell>
          <cell r="F7">
            <v>0</v>
          </cell>
          <cell r="G7">
            <v>8</v>
          </cell>
          <cell r="H7">
            <v>7</v>
          </cell>
          <cell r="I7">
            <v>0</v>
          </cell>
          <cell r="J7">
            <v>0</v>
          </cell>
          <cell r="K7">
            <v>0</v>
          </cell>
          <cell r="L7">
            <v>0</v>
          </cell>
          <cell r="M7">
            <v>16</v>
          </cell>
          <cell r="N7">
            <v>100</v>
          </cell>
          <cell r="O7">
            <v>2.5</v>
          </cell>
        </row>
        <row r="8">
          <cell r="B8" t="str">
            <v>Gudivada II Town UPS</v>
          </cell>
          <cell r="C8">
            <v>1</v>
          </cell>
          <cell r="D8">
            <v>1</v>
          </cell>
          <cell r="E8">
            <v>1</v>
          </cell>
          <cell r="F8">
            <v>0</v>
          </cell>
          <cell r="G8">
            <v>2</v>
          </cell>
          <cell r="H8">
            <v>11</v>
          </cell>
          <cell r="I8">
            <v>0</v>
          </cell>
          <cell r="J8">
            <v>0</v>
          </cell>
          <cell r="K8">
            <v>0</v>
          </cell>
          <cell r="L8">
            <v>0</v>
          </cell>
          <cell r="M8">
            <v>15</v>
          </cell>
          <cell r="N8">
            <v>100</v>
          </cell>
          <cell r="O8">
            <v>2.5</v>
          </cell>
        </row>
        <row r="9">
          <cell r="B9" t="str">
            <v>Ghantasala</v>
          </cell>
          <cell r="C9">
            <v>2</v>
          </cell>
          <cell r="D9">
            <v>2</v>
          </cell>
          <cell r="E9">
            <v>0</v>
          </cell>
          <cell r="F9">
            <v>0</v>
          </cell>
          <cell r="G9">
            <v>10</v>
          </cell>
          <cell r="H9">
            <v>12</v>
          </cell>
          <cell r="I9">
            <v>0</v>
          </cell>
          <cell r="J9">
            <v>0</v>
          </cell>
          <cell r="K9">
            <v>0</v>
          </cell>
          <cell r="L9">
            <v>0</v>
          </cell>
          <cell r="M9">
            <v>12</v>
          </cell>
          <cell r="N9">
            <v>100</v>
          </cell>
          <cell r="O9">
            <v>2.5</v>
          </cell>
        </row>
        <row r="10">
          <cell r="B10" t="str">
            <v>Pamarru</v>
          </cell>
          <cell r="C10">
            <v>1</v>
          </cell>
          <cell r="D10">
            <v>1</v>
          </cell>
          <cell r="E10">
            <v>0</v>
          </cell>
          <cell r="F10">
            <v>0</v>
          </cell>
          <cell r="G10">
            <v>3</v>
          </cell>
          <cell r="H10">
            <v>7</v>
          </cell>
          <cell r="I10">
            <v>0</v>
          </cell>
          <cell r="J10">
            <v>0</v>
          </cell>
          <cell r="K10">
            <v>0</v>
          </cell>
          <cell r="L10">
            <v>0</v>
          </cell>
          <cell r="M10">
            <v>11</v>
          </cell>
          <cell r="N10">
            <v>100</v>
          </cell>
          <cell r="O10">
            <v>2.5</v>
          </cell>
        </row>
        <row r="11">
          <cell r="B11" t="str">
            <v>Gudivada Rural</v>
          </cell>
          <cell r="C11">
            <v>2</v>
          </cell>
          <cell r="D11">
            <v>2</v>
          </cell>
          <cell r="E11">
            <v>0</v>
          </cell>
          <cell r="F11">
            <v>0</v>
          </cell>
          <cell r="G11">
            <v>12</v>
          </cell>
          <cell r="H11">
            <v>5</v>
          </cell>
          <cell r="I11">
            <v>0</v>
          </cell>
          <cell r="J11">
            <v>0</v>
          </cell>
          <cell r="K11">
            <v>0</v>
          </cell>
          <cell r="L11">
            <v>0</v>
          </cell>
          <cell r="M11">
            <v>9.5</v>
          </cell>
          <cell r="N11">
            <v>100</v>
          </cell>
          <cell r="O11">
            <v>2.5</v>
          </cell>
        </row>
        <row r="12">
          <cell r="B12" t="str">
            <v>Avanigadda</v>
          </cell>
          <cell r="C12">
            <v>3</v>
          </cell>
          <cell r="D12">
            <v>3</v>
          </cell>
          <cell r="E12">
            <v>0</v>
          </cell>
          <cell r="F12">
            <v>0</v>
          </cell>
          <cell r="G12">
            <v>9</v>
          </cell>
          <cell r="H12">
            <v>15</v>
          </cell>
          <cell r="I12">
            <v>0</v>
          </cell>
          <cell r="J12">
            <v>0</v>
          </cell>
          <cell r="K12">
            <v>0</v>
          </cell>
          <cell r="L12">
            <v>1</v>
          </cell>
          <cell r="M12">
            <v>9.3333333333333339</v>
          </cell>
          <cell r="N12">
            <v>100</v>
          </cell>
          <cell r="O12">
            <v>2.5</v>
          </cell>
        </row>
        <row r="13">
          <cell r="B13" t="str">
            <v>Machilipatnam Town</v>
          </cell>
          <cell r="C13">
            <v>3</v>
          </cell>
          <cell r="D13">
            <v>3</v>
          </cell>
          <cell r="E13">
            <v>0</v>
          </cell>
          <cell r="F13">
            <v>0</v>
          </cell>
          <cell r="G13">
            <v>6</v>
          </cell>
          <cell r="H13">
            <v>15</v>
          </cell>
          <cell r="I13">
            <v>0</v>
          </cell>
          <cell r="J13">
            <v>0</v>
          </cell>
          <cell r="K13">
            <v>0</v>
          </cell>
          <cell r="L13">
            <v>3</v>
          </cell>
          <cell r="M13">
            <v>9</v>
          </cell>
          <cell r="N13">
            <v>100</v>
          </cell>
          <cell r="O13">
            <v>2.5</v>
          </cell>
        </row>
        <row r="14">
          <cell r="B14" t="str">
            <v>Veeravalli</v>
          </cell>
          <cell r="C14">
            <v>2</v>
          </cell>
          <cell r="D14">
            <v>2</v>
          </cell>
          <cell r="E14">
            <v>0</v>
          </cell>
          <cell r="F14">
            <v>0</v>
          </cell>
          <cell r="G14">
            <v>8</v>
          </cell>
          <cell r="H14">
            <v>8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9</v>
          </cell>
          <cell r="N14">
            <v>100</v>
          </cell>
          <cell r="O14">
            <v>2.5</v>
          </cell>
        </row>
        <row r="15">
          <cell r="B15" t="str">
            <v>Vuyyuru Rural</v>
          </cell>
          <cell r="C15">
            <v>1</v>
          </cell>
          <cell r="D15">
            <v>1</v>
          </cell>
          <cell r="E15">
            <v>0</v>
          </cell>
          <cell r="F15">
            <v>0</v>
          </cell>
          <cell r="G15">
            <v>3</v>
          </cell>
          <cell r="H15">
            <v>5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9</v>
          </cell>
          <cell r="N15">
            <v>100</v>
          </cell>
          <cell r="O15">
            <v>2.5</v>
          </cell>
        </row>
        <row r="16">
          <cell r="B16" t="str">
            <v>Gudivada I Town UPS</v>
          </cell>
          <cell r="C16">
            <v>4</v>
          </cell>
          <cell r="D16">
            <v>4</v>
          </cell>
          <cell r="E16">
            <v>2</v>
          </cell>
          <cell r="F16">
            <v>0</v>
          </cell>
          <cell r="G16">
            <v>7</v>
          </cell>
          <cell r="H16">
            <v>23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9</v>
          </cell>
          <cell r="N16">
            <v>100</v>
          </cell>
          <cell r="O16">
            <v>2.5</v>
          </cell>
        </row>
        <row r="17">
          <cell r="B17" t="str">
            <v>Gannavaram UPS</v>
          </cell>
          <cell r="C17">
            <v>5</v>
          </cell>
          <cell r="D17">
            <v>4</v>
          </cell>
          <cell r="E17">
            <v>0</v>
          </cell>
          <cell r="F17">
            <v>0</v>
          </cell>
          <cell r="G17">
            <v>20</v>
          </cell>
          <cell r="H17">
            <v>20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8.8000000000000007</v>
          </cell>
          <cell r="N17">
            <v>100</v>
          </cell>
          <cell r="O17">
            <v>2.5</v>
          </cell>
        </row>
        <row r="18">
          <cell r="B18" t="str">
            <v>Koduru</v>
          </cell>
          <cell r="C18">
            <v>2</v>
          </cell>
          <cell r="D18">
            <v>2</v>
          </cell>
          <cell r="E18">
            <v>0</v>
          </cell>
          <cell r="F18">
            <v>0</v>
          </cell>
          <cell r="G18">
            <v>4</v>
          </cell>
          <cell r="H18">
            <v>10</v>
          </cell>
          <cell r="I18">
            <v>0</v>
          </cell>
          <cell r="J18">
            <v>0</v>
          </cell>
          <cell r="K18">
            <v>0</v>
          </cell>
          <cell r="L18">
            <v>1</v>
          </cell>
          <cell r="M18">
            <v>8.5</v>
          </cell>
          <cell r="N18">
            <v>100</v>
          </cell>
          <cell r="O18">
            <v>2.5</v>
          </cell>
        </row>
        <row r="19">
          <cell r="B19" t="str">
            <v>Guduru</v>
          </cell>
          <cell r="C19">
            <v>2</v>
          </cell>
          <cell r="D19">
            <v>1</v>
          </cell>
          <cell r="E19">
            <v>0</v>
          </cell>
          <cell r="F19">
            <v>0</v>
          </cell>
          <cell r="G19">
            <v>4</v>
          </cell>
          <cell r="H19">
            <v>8</v>
          </cell>
          <cell r="I19">
            <v>0</v>
          </cell>
          <cell r="J19">
            <v>0</v>
          </cell>
          <cell r="K19">
            <v>0</v>
          </cell>
          <cell r="L19">
            <v>4</v>
          </cell>
          <cell r="M19">
            <v>8.5</v>
          </cell>
          <cell r="N19">
            <v>100</v>
          </cell>
          <cell r="O19">
            <v>2.5</v>
          </cell>
        </row>
        <row r="20">
          <cell r="B20" t="str">
            <v>Thotlavalluru</v>
          </cell>
          <cell r="C20">
            <v>4</v>
          </cell>
          <cell r="D20">
            <v>4</v>
          </cell>
          <cell r="E20">
            <v>0</v>
          </cell>
          <cell r="F20">
            <v>0</v>
          </cell>
          <cell r="G20">
            <v>12</v>
          </cell>
          <cell r="H20">
            <v>16</v>
          </cell>
          <cell r="I20">
            <v>0</v>
          </cell>
          <cell r="J20">
            <v>0</v>
          </cell>
          <cell r="K20">
            <v>0</v>
          </cell>
          <cell r="L20">
            <v>2</v>
          </cell>
          <cell r="M20">
            <v>8.5</v>
          </cell>
          <cell r="N20">
            <v>100</v>
          </cell>
          <cell r="O20">
            <v>2.5</v>
          </cell>
        </row>
        <row r="21">
          <cell r="B21" t="str">
            <v>Kankipadu</v>
          </cell>
          <cell r="C21">
            <v>5</v>
          </cell>
          <cell r="D21">
            <v>2</v>
          </cell>
          <cell r="E21">
            <v>0</v>
          </cell>
          <cell r="F21">
            <v>0</v>
          </cell>
          <cell r="G21">
            <v>15</v>
          </cell>
          <cell r="H21">
            <v>25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  <cell r="M21">
            <v>8.4</v>
          </cell>
          <cell r="N21">
            <v>100</v>
          </cell>
          <cell r="O21">
            <v>2.5</v>
          </cell>
        </row>
        <row r="22">
          <cell r="B22" t="str">
            <v>Nagayalanka</v>
          </cell>
          <cell r="C22">
            <v>3</v>
          </cell>
          <cell r="D22">
            <v>3</v>
          </cell>
          <cell r="E22">
            <v>0</v>
          </cell>
          <cell r="F22">
            <v>0</v>
          </cell>
          <cell r="G22">
            <v>7</v>
          </cell>
          <cell r="H22">
            <v>15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  <cell r="M22">
            <v>8.3333333333333339</v>
          </cell>
          <cell r="N22">
            <v>100</v>
          </cell>
          <cell r="O22">
            <v>2.5</v>
          </cell>
        </row>
        <row r="23">
          <cell r="B23" t="str">
            <v>Vuyyuru Town UPS</v>
          </cell>
          <cell r="C23">
            <v>4</v>
          </cell>
          <cell r="D23">
            <v>4</v>
          </cell>
          <cell r="E23">
            <v>1</v>
          </cell>
          <cell r="F23">
            <v>0</v>
          </cell>
          <cell r="G23">
            <v>12</v>
          </cell>
          <cell r="H23">
            <v>16</v>
          </cell>
          <cell r="I23">
            <v>0</v>
          </cell>
          <cell r="J23">
            <v>0</v>
          </cell>
          <cell r="K23">
            <v>0</v>
          </cell>
          <cell r="L23">
            <v>0</v>
          </cell>
          <cell r="M23">
            <v>8.25</v>
          </cell>
          <cell r="N23">
            <v>100</v>
          </cell>
          <cell r="O23">
            <v>2.5</v>
          </cell>
        </row>
        <row r="24">
          <cell r="B24" t="str">
            <v>Chilakalapudi UPS</v>
          </cell>
          <cell r="C24">
            <v>2</v>
          </cell>
          <cell r="D24">
            <v>2</v>
          </cell>
          <cell r="E24">
            <v>1</v>
          </cell>
          <cell r="F24">
            <v>0</v>
          </cell>
          <cell r="G24">
            <v>5</v>
          </cell>
          <cell r="H24">
            <v>8</v>
          </cell>
          <cell r="I24">
            <v>0</v>
          </cell>
          <cell r="J24">
            <v>0</v>
          </cell>
          <cell r="K24">
            <v>0</v>
          </cell>
          <cell r="L24">
            <v>0</v>
          </cell>
          <cell r="M24">
            <v>8</v>
          </cell>
          <cell r="N24">
            <v>100</v>
          </cell>
          <cell r="O24">
            <v>2.5</v>
          </cell>
        </row>
        <row r="25">
          <cell r="B25" t="str">
            <v>Pedaparupudi</v>
          </cell>
          <cell r="C25">
            <v>1</v>
          </cell>
          <cell r="D25">
            <v>1</v>
          </cell>
          <cell r="E25">
            <v>0</v>
          </cell>
          <cell r="F25">
            <v>0</v>
          </cell>
          <cell r="G25">
            <v>2</v>
          </cell>
          <cell r="H25">
            <v>5</v>
          </cell>
          <cell r="I25">
            <v>0</v>
          </cell>
          <cell r="J25">
            <v>0</v>
          </cell>
          <cell r="K25">
            <v>0</v>
          </cell>
          <cell r="L25">
            <v>0</v>
          </cell>
          <cell r="M25">
            <v>8</v>
          </cell>
          <cell r="N25">
            <v>100</v>
          </cell>
          <cell r="O25">
            <v>2.5</v>
          </cell>
        </row>
        <row r="26">
          <cell r="B26" t="str">
            <v>Pamidimukkala</v>
          </cell>
          <cell r="C26">
            <v>3</v>
          </cell>
          <cell r="D26">
            <v>3</v>
          </cell>
          <cell r="E26">
            <v>0</v>
          </cell>
          <cell r="F26">
            <v>0</v>
          </cell>
          <cell r="G26">
            <v>11</v>
          </cell>
          <cell r="H26">
            <v>10</v>
          </cell>
          <cell r="I26">
            <v>0</v>
          </cell>
          <cell r="J26">
            <v>0</v>
          </cell>
          <cell r="K26">
            <v>0</v>
          </cell>
          <cell r="L26">
            <v>0</v>
          </cell>
          <cell r="M26">
            <v>8</v>
          </cell>
          <cell r="N26">
            <v>100</v>
          </cell>
          <cell r="O26">
            <v>2.5</v>
          </cell>
        </row>
        <row r="27">
          <cell r="B27" t="str">
            <v>Bantumilli</v>
          </cell>
          <cell r="C27">
            <v>1</v>
          </cell>
          <cell r="D27">
            <v>1</v>
          </cell>
          <cell r="E27">
            <v>0</v>
          </cell>
          <cell r="F27">
            <v>0</v>
          </cell>
          <cell r="G27">
            <v>2</v>
          </cell>
          <cell r="H27">
            <v>4</v>
          </cell>
          <cell r="I27">
            <v>0</v>
          </cell>
          <cell r="J27">
            <v>0</v>
          </cell>
          <cell r="K27">
            <v>0</v>
          </cell>
          <cell r="L27">
            <v>0</v>
          </cell>
          <cell r="M27">
            <v>7</v>
          </cell>
          <cell r="N27">
            <v>93.49</v>
          </cell>
          <cell r="O27">
            <v>2.33725</v>
          </cell>
        </row>
        <row r="28">
          <cell r="B28" t="str">
            <v>Kuchipudi</v>
          </cell>
          <cell r="C28">
            <v>1</v>
          </cell>
          <cell r="D28">
            <v>1</v>
          </cell>
          <cell r="E28">
            <v>0</v>
          </cell>
          <cell r="F28">
            <v>0</v>
          </cell>
          <cell r="G28">
            <v>2</v>
          </cell>
          <cell r="H28">
            <v>4</v>
          </cell>
          <cell r="I28">
            <v>0</v>
          </cell>
          <cell r="J28">
            <v>0</v>
          </cell>
          <cell r="K28">
            <v>0</v>
          </cell>
          <cell r="L28">
            <v>0</v>
          </cell>
          <cell r="M28">
            <v>7</v>
          </cell>
          <cell r="N28">
            <v>93.49</v>
          </cell>
          <cell r="O28">
            <v>2.33725</v>
          </cell>
        </row>
        <row r="29">
          <cell r="B29" t="str">
            <v>Penamaluru UPS</v>
          </cell>
          <cell r="C29">
            <v>7</v>
          </cell>
          <cell r="D29">
            <v>7</v>
          </cell>
          <cell r="E29">
            <v>0</v>
          </cell>
          <cell r="F29">
            <v>0</v>
          </cell>
          <cell r="G29">
            <v>20</v>
          </cell>
          <cell r="H29">
            <v>21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  <cell r="M29">
            <v>6.8571428571428568</v>
          </cell>
          <cell r="N29">
            <v>91.59</v>
          </cell>
          <cell r="O29">
            <v>2.2897500000000002</v>
          </cell>
        </row>
        <row r="30">
          <cell r="B30" t="str">
            <v>Nandivada</v>
          </cell>
          <cell r="C30">
            <v>4</v>
          </cell>
          <cell r="D30">
            <v>3</v>
          </cell>
          <cell r="E30">
            <v>0</v>
          </cell>
          <cell r="F30">
            <v>0</v>
          </cell>
          <cell r="G30">
            <v>3</v>
          </cell>
          <cell r="H30">
            <v>21</v>
          </cell>
          <cell r="I30">
            <v>0</v>
          </cell>
          <cell r="J30">
            <v>0</v>
          </cell>
          <cell r="K30">
            <v>0</v>
          </cell>
          <cell r="L30">
            <v>0</v>
          </cell>
          <cell r="M30">
            <v>6.75</v>
          </cell>
          <cell r="N30">
            <v>90.15</v>
          </cell>
          <cell r="O30">
            <v>2.2537500000000001</v>
          </cell>
        </row>
        <row r="31">
          <cell r="B31" t="str">
            <v>Robertsonpet</v>
          </cell>
          <cell r="C31">
            <v>2</v>
          </cell>
          <cell r="D31">
            <v>2</v>
          </cell>
          <cell r="E31">
            <v>0</v>
          </cell>
          <cell r="F31">
            <v>0</v>
          </cell>
          <cell r="G31">
            <v>4</v>
          </cell>
          <cell r="H31">
            <v>5</v>
          </cell>
          <cell r="I31">
            <v>0</v>
          </cell>
          <cell r="J31">
            <v>0</v>
          </cell>
          <cell r="K31">
            <v>0</v>
          </cell>
          <cell r="L31">
            <v>0</v>
          </cell>
          <cell r="M31">
            <v>5.5</v>
          </cell>
          <cell r="N31">
            <v>73.459999999999994</v>
          </cell>
          <cell r="O31">
            <v>1.8365</v>
          </cell>
        </row>
        <row r="32">
          <cell r="B32" t="str">
            <v>Challapalli</v>
          </cell>
          <cell r="C32">
            <v>3</v>
          </cell>
          <cell r="D32">
            <v>2</v>
          </cell>
          <cell r="E32">
            <v>0</v>
          </cell>
          <cell r="F32">
            <v>0</v>
          </cell>
          <cell r="G32">
            <v>4</v>
          </cell>
          <cell r="H32">
            <v>10</v>
          </cell>
          <cell r="I32">
            <v>0</v>
          </cell>
          <cell r="J32">
            <v>0</v>
          </cell>
          <cell r="K32">
            <v>0</v>
          </cell>
          <cell r="L32">
            <v>0</v>
          </cell>
          <cell r="M32">
            <v>5.333333333333333</v>
          </cell>
          <cell r="N32">
            <v>71.23</v>
          </cell>
          <cell r="O32">
            <v>1.7807500000000003</v>
          </cell>
        </row>
        <row r="33">
          <cell r="B33" t="str">
            <v>Pedana</v>
          </cell>
          <cell r="C33">
            <v>3</v>
          </cell>
          <cell r="D33">
            <v>0</v>
          </cell>
          <cell r="E33">
            <v>0</v>
          </cell>
          <cell r="F33">
            <v>0</v>
          </cell>
          <cell r="G33">
            <v>4</v>
          </cell>
          <cell r="H33">
            <v>0</v>
          </cell>
          <cell r="I33">
            <v>0</v>
          </cell>
          <cell r="J33">
            <v>0</v>
          </cell>
          <cell r="K33">
            <v>0</v>
          </cell>
          <cell r="L33">
            <v>0</v>
          </cell>
          <cell r="M33">
            <v>1.3333333333333333</v>
          </cell>
          <cell r="N33">
            <v>17.809999999999999</v>
          </cell>
          <cell r="O33">
            <v>0.44524999999999998</v>
          </cell>
        </row>
        <row r="34">
          <cell r="B34" t="str">
            <v>Bandar Taluk PS</v>
          </cell>
          <cell r="C34">
            <v>1</v>
          </cell>
          <cell r="D34">
            <v>1</v>
          </cell>
          <cell r="E34">
            <v>0</v>
          </cell>
          <cell r="F34">
            <v>0</v>
          </cell>
          <cell r="G34">
            <v>0</v>
          </cell>
          <cell r="H34">
            <v>0</v>
          </cell>
          <cell r="I34">
            <v>0</v>
          </cell>
          <cell r="J34">
            <v>0</v>
          </cell>
          <cell r="K34">
            <v>0</v>
          </cell>
          <cell r="L34">
            <v>0</v>
          </cell>
          <cell r="M34">
            <v>1</v>
          </cell>
          <cell r="N34">
            <v>13.36</v>
          </cell>
          <cell r="O34">
            <v>0.33400000000000002</v>
          </cell>
        </row>
        <row r="35">
          <cell r="B35" t="str">
            <v>Atkuru</v>
          </cell>
          <cell r="C35">
            <v>3</v>
          </cell>
          <cell r="D35">
            <v>0</v>
          </cell>
          <cell r="E35">
            <v>0</v>
          </cell>
          <cell r="F35">
            <v>0</v>
          </cell>
          <cell r="G35">
            <v>0</v>
          </cell>
          <cell r="H35">
            <v>0</v>
          </cell>
          <cell r="I35">
            <v>0</v>
          </cell>
          <cell r="J35">
            <v>0</v>
          </cell>
          <cell r="K35">
            <v>0</v>
          </cell>
          <cell r="L35">
            <v>0</v>
          </cell>
          <cell r="M35">
            <v>0</v>
          </cell>
          <cell r="N35">
            <v>0</v>
          </cell>
          <cell r="O35">
            <v>0</v>
          </cell>
        </row>
        <row r="36">
          <cell r="B36" t="str">
            <v>Hanuman Junction</v>
          </cell>
          <cell r="C36">
            <v>2</v>
          </cell>
          <cell r="D36">
            <v>0</v>
          </cell>
          <cell r="E36">
            <v>0</v>
          </cell>
          <cell r="F36">
            <v>0</v>
          </cell>
          <cell r="G36">
            <v>0</v>
          </cell>
          <cell r="H36">
            <v>0</v>
          </cell>
          <cell r="I36">
            <v>0</v>
          </cell>
          <cell r="J36">
            <v>0</v>
          </cell>
          <cell r="K36">
            <v>0</v>
          </cell>
          <cell r="L36">
            <v>0</v>
          </cell>
          <cell r="M36">
            <v>0</v>
          </cell>
          <cell r="N36">
            <v>0</v>
          </cell>
          <cell r="O36">
            <v>0</v>
          </cell>
        </row>
        <row r="37">
          <cell r="C37">
            <v>78</v>
          </cell>
          <cell r="D37">
            <v>63</v>
          </cell>
          <cell r="E37">
            <v>5</v>
          </cell>
          <cell r="F37">
            <v>0</v>
          </cell>
          <cell r="G37">
            <v>199</v>
          </cell>
          <cell r="H37">
            <v>306</v>
          </cell>
          <cell r="I37">
            <v>0</v>
          </cell>
          <cell r="J37">
            <v>0</v>
          </cell>
          <cell r="K37">
            <v>0</v>
          </cell>
          <cell r="L37">
            <v>11</v>
          </cell>
          <cell r="M37">
            <v>7.4871794871794872</v>
          </cell>
          <cell r="N37">
            <v>80.722941176470584</v>
          </cell>
          <cell r="O37">
            <v>2.0180735294117649</v>
          </cell>
        </row>
      </sheetData>
      <sheetData sheetId="6">
        <row r="2">
          <cell r="B2" t="str">
            <v>PS</v>
          </cell>
          <cell r="C2" t="str">
            <v>Result of Appeal</v>
          </cell>
          <cell r="D2" t="str">
            <v>Missing</v>
          </cell>
          <cell r="E2" t="str">
            <v>Abandoned Person entry</v>
          </cell>
          <cell r="F2" t="str">
            <v>Unidentified Dead Body</v>
          </cell>
          <cell r="G2" t="str">
            <v>Unnatural Death</v>
          </cell>
          <cell r="H2" t="str">
            <v>Gang Profile</v>
          </cell>
          <cell r="I2" t="str">
            <v>Member Details</v>
          </cell>
          <cell r="J2" t="str">
            <v>Gang Activity Details</v>
          </cell>
          <cell r="K2" t="str">
            <v>Unclaimed Property</v>
          </cell>
          <cell r="L2" t="str">
            <v>Raw Value</v>
          </cell>
          <cell r="M2" t="str">
            <v>Marks</v>
          </cell>
        </row>
        <row r="3">
          <cell r="B3" t="str">
            <v>Mahila UPS, Machilipatnam</v>
          </cell>
          <cell r="C3">
            <v>0</v>
          </cell>
          <cell r="D3">
            <v>0</v>
          </cell>
          <cell r="E3">
            <v>0</v>
          </cell>
          <cell r="F3">
            <v>0</v>
          </cell>
          <cell r="G3">
            <v>0</v>
          </cell>
          <cell r="H3">
            <v>0</v>
          </cell>
          <cell r="I3">
            <v>0</v>
          </cell>
          <cell r="J3">
            <v>0</v>
          </cell>
          <cell r="K3">
            <v>0</v>
          </cell>
          <cell r="L3">
            <v>0</v>
          </cell>
          <cell r="M3">
            <v>0</v>
          </cell>
        </row>
        <row r="4">
          <cell r="B4" t="str">
            <v>Avanigadda</v>
          </cell>
          <cell r="C4">
            <v>0</v>
          </cell>
          <cell r="D4">
            <v>0</v>
          </cell>
          <cell r="E4">
            <v>1</v>
          </cell>
          <cell r="F4">
            <v>0</v>
          </cell>
          <cell r="G4">
            <v>0</v>
          </cell>
          <cell r="H4">
            <v>0</v>
          </cell>
          <cell r="I4">
            <v>0</v>
          </cell>
          <cell r="J4">
            <v>0</v>
          </cell>
          <cell r="K4">
            <v>0</v>
          </cell>
          <cell r="L4">
            <v>100</v>
          </cell>
          <cell r="M4">
            <v>2.5</v>
          </cell>
        </row>
        <row r="5">
          <cell r="B5" t="str">
            <v>Koduru</v>
          </cell>
          <cell r="C5">
            <v>0</v>
          </cell>
          <cell r="D5">
            <v>0</v>
          </cell>
          <cell r="E5">
            <v>0</v>
          </cell>
          <cell r="F5">
            <v>0</v>
          </cell>
          <cell r="G5">
            <v>0</v>
          </cell>
          <cell r="H5">
            <v>0</v>
          </cell>
          <cell r="I5">
            <v>0</v>
          </cell>
          <cell r="J5">
            <v>0</v>
          </cell>
          <cell r="K5">
            <v>0</v>
          </cell>
          <cell r="L5">
            <v>0</v>
          </cell>
          <cell r="M5">
            <v>0</v>
          </cell>
        </row>
        <row r="6">
          <cell r="B6" t="str">
            <v>Nagayalanka</v>
          </cell>
          <cell r="C6">
            <v>0</v>
          </cell>
          <cell r="D6">
            <v>0</v>
          </cell>
          <cell r="E6">
            <v>0</v>
          </cell>
          <cell r="F6">
            <v>0</v>
          </cell>
          <cell r="G6">
            <v>0</v>
          </cell>
          <cell r="H6">
            <v>0</v>
          </cell>
          <cell r="I6">
            <v>0</v>
          </cell>
          <cell r="J6">
            <v>0</v>
          </cell>
          <cell r="K6">
            <v>0</v>
          </cell>
          <cell r="L6">
            <v>0</v>
          </cell>
          <cell r="M6">
            <v>0</v>
          </cell>
        </row>
        <row r="7">
          <cell r="B7" t="str">
            <v>Challapalli</v>
          </cell>
          <cell r="C7">
            <v>0</v>
          </cell>
          <cell r="D7">
            <v>0</v>
          </cell>
          <cell r="E7">
            <v>0</v>
          </cell>
          <cell r="F7">
            <v>0</v>
          </cell>
          <cell r="G7">
            <v>0</v>
          </cell>
          <cell r="H7">
            <v>0</v>
          </cell>
          <cell r="I7">
            <v>0</v>
          </cell>
          <cell r="J7">
            <v>0</v>
          </cell>
          <cell r="K7">
            <v>0</v>
          </cell>
          <cell r="L7">
            <v>0</v>
          </cell>
          <cell r="M7">
            <v>0</v>
          </cell>
        </row>
        <row r="8">
          <cell r="B8" t="str">
            <v>Ghantasala</v>
          </cell>
          <cell r="C8">
            <v>0</v>
          </cell>
          <cell r="D8">
            <v>0</v>
          </cell>
          <cell r="E8">
            <v>1</v>
          </cell>
          <cell r="F8">
            <v>0</v>
          </cell>
          <cell r="G8">
            <v>0</v>
          </cell>
          <cell r="H8">
            <v>0</v>
          </cell>
          <cell r="I8">
            <v>0</v>
          </cell>
          <cell r="J8">
            <v>0</v>
          </cell>
          <cell r="K8">
            <v>0</v>
          </cell>
          <cell r="L8">
            <v>100</v>
          </cell>
          <cell r="M8">
            <v>2.5</v>
          </cell>
        </row>
        <row r="9">
          <cell r="B9" t="str">
            <v>Chilakalapudi UPS</v>
          </cell>
          <cell r="C9">
            <v>0</v>
          </cell>
          <cell r="D9">
            <v>0</v>
          </cell>
          <cell r="E9">
            <v>0</v>
          </cell>
          <cell r="F9">
            <v>0</v>
          </cell>
          <cell r="G9">
            <v>0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  <cell r="L9">
            <v>0</v>
          </cell>
          <cell r="M9">
            <v>0</v>
          </cell>
        </row>
        <row r="10">
          <cell r="B10" t="str">
            <v>Inaguduru UPS</v>
          </cell>
          <cell r="C10">
            <v>0</v>
          </cell>
          <cell r="D10">
            <v>0</v>
          </cell>
          <cell r="E10">
            <v>0</v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L10">
            <v>0</v>
          </cell>
          <cell r="M10">
            <v>0</v>
          </cell>
        </row>
        <row r="11">
          <cell r="B11" t="str">
            <v>Robertsonpet</v>
          </cell>
          <cell r="C11">
            <v>0</v>
          </cell>
          <cell r="D11">
            <v>0</v>
          </cell>
          <cell r="E11">
            <v>0</v>
          </cell>
          <cell r="F11">
            <v>0</v>
          </cell>
          <cell r="G11">
            <v>0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L11">
            <v>0</v>
          </cell>
          <cell r="M11">
            <v>0</v>
          </cell>
        </row>
        <row r="12">
          <cell r="B12" t="str">
            <v>Bantumilli</v>
          </cell>
          <cell r="C12">
            <v>0</v>
          </cell>
          <cell r="D12">
            <v>0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  <cell r="M12">
            <v>0</v>
          </cell>
        </row>
        <row r="13">
          <cell r="B13" t="str">
            <v>Guduru</v>
          </cell>
          <cell r="C13">
            <v>0</v>
          </cell>
          <cell r="D13">
            <v>0</v>
          </cell>
          <cell r="E13">
            <v>0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  <cell r="M13">
            <v>0</v>
          </cell>
        </row>
        <row r="14">
          <cell r="B14" t="str">
            <v>Kruthivennu</v>
          </cell>
          <cell r="C14">
            <v>0</v>
          </cell>
          <cell r="D14">
            <v>0</v>
          </cell>
          <cell r="E14">
            <v>1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100</v>
          </cell>
          <cell r="M14">
            <v>2.5</v>
          </cell>
        </row>
        <row r="15">
          <cell r="B15" t="str">
            <v>Pedana</v>
          </cell>
          <cell r="C15">
            <v>0</v>
          </cell>
          <cell r="D15">
            <v>0</v>
          </cell>
          <cell r="E15">
            <v>0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</row>
        <row r="16">
          <cell r="B16" t="str">
            <v>Bandar Taluk PS</v>
          </cell>
          <cell r="C16">
            <v>0</v>
          </cell>
          <cell r="D16">
            <v>0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</row>
        <row r="17">
          <cell r="B17" t="str">
            <v>Machilipatnam Town</v>
          </cell>
          <cell r="C17">
            <v>0</v>
          </cell>
          <cell r="D17">
            <v>0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</row>
        <row r="18">
          <cell r="B18" t="str">
            <v>Gannavaram UPS</v>
          </cell>
          <cell r="C18">
            <v>0</v>
          </cell>
          <cell r="D18">
            <v>0</v>
          </cell>
          <cell r="E18">
            <v>0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</row>
        <row r="19">
          <cell r="B19" t="str">
            <v>Penamaluru UPS</v>
          </cell>
          <cell r="C19">
            <v>0</v>
          </cell>
          <cell r="D19">
            <v>0</v>
          </cell>
          <cell r="E19">
            <v>1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100</v>
          </cell>
          <cell r="M19">
            <v>2.5</v>
          </cell>
        </row>
        <row r="20">
          <cell r="B20" t="str">
            <v>Vuyyuru Town UPS</v>
          </cell>
          <cell r="C20">
            <v>0</v>
          </cell>
          <cell r="D20">
            <v>0</v>
          </cell>
          <cell r="E20">
            <v>2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100</v>
          </cell>
          <cell r="M20">
            <v>2.5</v>
          </cell>
        </row>
        <row r="21">
          <cell r="B21" t="str">
            <v>Unguturu</v>
          </cell>
          <cell r="C21">
            <v>0</v>
          </cell>
          <cell r="D21">
            <v>0</v>
          </cell>
          <cell r="E21">
            <v>1</v>
          </cell>
          <cell r="F21">
            <v>0</v>
          </cell>
          <cell r="G21">
            <v>0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>
            <v>100</v>
          </cell>
          <cell r="M21">
            <v>2.5</v>
          </cell>
        </row>
        <row r="22">
          <cell r="B22" t="str">
            <v>Atkuru</v>
          </cell>
          <cell r="C22">
            <v>0</v>
          </cell>
          <cell r="D22">
            <v>0</v>
          </cell>
          <cell r="E22">
            <v>0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  <cell r="M22">
            <v>0</v>
          </cell>
        </row>
        <row r="23">
          <cell r="B23" t="str">
            <v>Hanuman Junction</v>
          </cell>
          <cell r="C23">
            <v>0</v>
          </cell>
          <cell r="D23">
            <v>0</v>
          </cell>
          <cell r="E23">
            <v>1</v>
          </cell>
          <cell r="F23">
            <v>0</v>
          </cell>
          <cell r="G23">
            <v>0</v>
          </cell>
          <cell r="H23">
            <v>0</v>
          </cell>
          <cell r="I23">
            <v>0</v>
          </cell>
          <cell r="J23">
            <v>0</v>
          </cell>
          <cell r="K23">
            <v>0</v>
          </cell>
          <cell r="L23">
            <v>100</v>
          </cell>
          <cell r="M23">
            <v>2.5</v>
          </cell>
        </row>
        <row r="24">
          <cell r="B24" t="str">
            <v>Veeravalli</v>
          </cell>
          <cell r="C24">
            <v>0</v>
          </cell>
          <cell r="D24">
            <v>0</v>
          </cell>
          <cell r="E24">
            <v>0</v>
          </cell>
          <cell r="F24">
            <v>0</v>
          </cell>
          <cell r="G24">
            <v>0</v>
          </cell>
          <cell r="H24">
            <v>0</v>
          </cell>
          <cell r="I24">
            <v>0</v>
          </cell>
          <cell r="J24">
            <v>0</v>
          </cell>
          <cell r="K24">
            <v>0</v>
          </cell>
          <cell r="L24">
            <v>0</v>
          </cell>
          <cell r="M24">
            <v>0</v>
          </cell>
        </row>
        <row r="25">
          <cell r="B25" t="str">
            <v>Kankipadu</v>
          </cell>
          <cell r="C25">
            <v>0</v>
          </cell>
          <cell r="D25">
            <v>0</v>
          </cell>
          <cell r="E25">
            <v>0</v>
          </cell>
          <cell r="F25">
            <v>0</v>
          </cell>
          <cell r="G25">
            <v>0</v>
          </cell>
          <cell r="H25">
            <v>0</v>
          </cell>
          <cell r="I25">
            <v>0</v>
          </cell>
          <cell r="J25">
            <v>0</v>
          </cell>
          <cell r="K25">
            <v>0</v>
          </cell>
          <cell r="L25">
            <v>0</v>
          </cell>
          <cell r="M25">
            <v>0</v>
          </cell>
        </row>
        <row r="26">
          <cell r="B26" t="str">
            <v>Vuyyuru Rural</v>
          </cell>
          <cell r="C26">
            <v>0</v>
          </cell>
          <cell r="D26">
            <v>0</v>
          </cell>
          <cell r="E26">
            <v>0</v>
          </cell>
          <cell r="F26">
            <v>0</v>
          </cell>
          <cell r="G26">
            <v>0</v>
          </cell>
          <cell r="H26">
            <v>0</v>
          </cell>
          <cell r="I26">
            <v>0</v>
          </cell>
          <cell r="J26">
            <v>0</v>
          </cell>
          <cell r="K26">
            <v>0</v>
          </cell>
          <cell r="L26">
            <v>0</v>
          </cell>
          <cell r="M26">
            <v>0</v>
          </cell>
        </row>
        <row r="27">
          <cell r="B27" t="str">
            <v>Gudivada I Town UPS</v>
          </cell>
          <cell r="C27">
            <v>0</v>
          </cell>
          <cell r="D27">
            <v>0</v>
          </cell>
          <cell r="E27">
            <v>0</v>
          </cell>
          <cell r="F27">
            <v>0</v>
          </cell>
          <cell r="G27">
            <v>0</v>
          </cell>
          <cell r="H27">
            <v>0</v>
          </cell>
          <cell r="I27">
            <v>0</v>
          </cell>
          <cell r="J27">
            <v>0</v>
          </cell>
          <cell r="K27">
            <v>0</v>
          </cell>
          <cell r="L27">
            <v>0</v>
          </cell>
          <cell r="M27">
            <v>0</v>
          </cell>
        </row>
        <row r="28">
          <cell r="B28" t="str">
            <v>Gudivada II Town UPS</v>
          </cell>
          <cell r="C28">
            <v>0</v>
          </cell>
          <cell r="D28">
            <v>0</v>
          </cell>
          <cell r="E28">
            <v>1</v>
          </cell>
          <cell r="F28">
            <v>0</v>
          </cell>
          <cell r="G28">
            <v>0</v>
          </cell>
          <cell r="H28">
            <v>0</v>
          </cell>
          <cell r="I28">
            <v>0</v>
          </cell>
          <cell r="J28">
            <v>0</v>
          </cell>
          <cell r="K28">
            <v>0</v>
          </cell>
          <cell r="L28">
            <v>100</v>
          </cell>
          <cell r="M28">
            <v>2.5</v>
          </cell>
        </row>
        <row r="29">
          <cell r="B29" t="str">
            <v>Gudivada Rural</v>
          </cell>
          <cell r="C29">
            <v>0</v>
          </cell>
          <cell r="D29">
            <v>0</v>
          </cell>
          <cell r="E29">
            <v>1</v>
          </cell>
          <cell r="F29">
            <v>0</v>
          </cell>
          <cell r="G29">
            <v>0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L29">
            <v>100</v>
          </cell>
          <cell r="M29">
            <v>2.5</v>
          </cell>
        </row>
        <row r="30">
          <cell r="B30" t="str">
            <v>Gudlavalleru</v>
          </cell>
          <cell r="C30">
            <v>0</v>
          </cell>
          <cell r="D30">
            <v>0</v>
          </cell>
          <cell r="E30">
            <v>1</v>
          </cell>
          <cell r="F30">
            <v>0</v>
          </cell>
          <cell r="G30">
            <v>0</v>
          </cell>
          <cell r="H30">
            <v>0</v>
          </cell>
          <cell r="I30">
            <v>0</v>
          </cell>
          <cell r="J30">
            <v>0</v>
          </cell>
          <cell r="K30">
            <v>0</v>
          </cell>
          <cell r="L30">
            <v>100</v>
          </cell>
          <cell r="M30">
            <v>2.5</v>
          </cell>
        </row>
        <row r="31">
          <cell r="B31" t="str">
            <v>Nandivada</v>
          </cell>
          <cell r="C31">
            <v>0</v>
          </cell>
          <cell r="D31">
            <v>0</v>
          </cell>
          <cell r="E31">
            <v>1</v>
          </cell>
          <cell r="F31">
            <v>0</v>
          </cell>
          <cell r="G31">
            <v>0</v>
          </cell>
          <cell r="H31">
            <v>0</v>
          </cell>
          <cell r="I31">
            <v>0</v>
          </cell>
          <cell r="J31">
            <v>0</v>
          </cell>
          <cell r="K31">
            <v>0</v>
          </cell>
          <cell r="L31">
            <v>100</v>
          </cell>
          <cell r="M31">
            <v>2.5</v>
          </cell>
        </row>
        <row r="32">
          <cell r="B32" t="str">
            <v>Kuchipudi</v>
          </cell>
          <cell r="C32">
            <v>0</v>
          </cell>
          <cell r="D32">
            <v>0</v>
          </cell>
          <cell r="E32">
            <v>0</v>
          </cell>
          <cell r="F32">
            <v>0</v>
          </cell>
          <cell r="G32">
            <v>0</v>
          </cell>
          <cell r="H32">
            <v>0</v>
          </cell>
          <cell r="I32">
            <v>0</v>
          </cell>
          <cell r="J32">
            <v>0</v>
          </cell>
          <cell r="K32">
            <v>0</v>
          </cell>
          <cell r="L32">
            <v>0</v>
          </cell>
          <cell r="M32">
            <v>0</v>
          </cell>
        </row>
        <row r="33">
          <cell r="B33" t="str">
            <v>Pamarru</v>
          </cell>
          <cell r="C33">
            <v>0</v>
          </cell>
          <cell r="D33">
            <v>0</v>
          </cell>
          <cell r="E33">
            <v>0</v>
          </cell>
          <cell r="F33">
            <v>0</v>
          </cell>
          <cell r="G33">
            <v>0</v>
          </cell>
          <cell r="H33">
            <v>0</v>
          </cell>
          <cell r="I33">
            <v>0</v>
          </cell>
          <cell r="J33">
            <v>0</v>
          </cell>
          <cell r="K33">
            <v>0</v>
          </cell>
          <cell r="L33">
            <v>0</v>
          </cell>
          <cell r="M33">
            <v>0</v>
          </cell>
        </row>
        <row r="34">
          <cell r="B34" t="str">
            <v>Pedaparupudi</v>
          </cell>
          <cell r="C34">
            <v>0</v>
          </cell>
          <cell r="D34">
            <v>0</v>
          </cell>
          <cell r="E34">
            <v>1</v>
          </cell>
          <cell r="F34">
            <v>0</v>
          </cell>
          <cell r="G34">
            <v>0</v>
          </cell>
          <cell r="H34">
            <v>0</v>
          </cell>
          <cell r="I34">
            <v>0</v>
          </cell>
          <cell r="J34">
            <v>0</v>
          </cell>
          <cell r="K34">
            <v>0</v>
          </cell>
          <cell r="L34">
            <v>100</v>
          </cell>
          <cell r="M34">
            <v>2.5</v>
          </cell>
        </row>
        <row r="35">
          <cell r="B35" t="str">
            <v>Pamidimukkala</v>
          </cell>
          <cell r="C35">
            <v>0</v>
          </cell>
          <cell r="D35">
            <v>0</v>
          </cell>
          <cell r="E35">
            <v>0</v>
          </cell>
          <cell r="F35">
            <v>0</v>
          </cell>
          <cell r="G35">
            <v>0</v>
          </cell>
          <cell r="H35">
            <v>0</v>
          </cell>
          <cell r="I35">
            <v>0</v>
          </cell>
          <cell r="J35">
            <v>0</v>
          </cell>
          <cell r="K35">
            <v>0</v>
          </cell>
          <cell r="L35">
            <v>0</v>
          </cell>
          <cell r="M35">
            <v>0</v>
          </cell>
        </row>
        <row r="36">
          <cell r="B36" t="str">
            <v>Thotlavalluru</v>
          </cell>
          <cell r="C36">
            <v>0</v>
          </cell>
          <cell r="D36">
            <v>0</v>
          </cell>
          <cell r="E36">
            <v>0</v>
          </cell>
          <cell r="F36">
            <v>0</v>
          </cell>
          <cell r="G36">
            <v>0</v>
          </cell>
          <cell r="H36">
            <v>0</v>
          </cell>
          <cell r="I36">
            <v>0</v>
          </cell>
          <cell r="J36">
            <v>0</v>
          </cell>
          <cell r="K36">
            <v>0</v>
          </cell>
          <cell r="L36">
            <v>0</v>
          </cell>
          <cell r="M36">
            <v>0</v>
          </cell>
        </row>
        <row r="37">
          <cell r="C37" t="str">
            <v>NA</v>
          </cell>
          <cell r="D37" t="str">
            <v>NA</v>
          </cell>
          <cell r="E37" t="str">
            <v>NA</v>
          </cell>
          <cell r="F37" t="str">
            <v>NA</v>
          </cell>
          <cell r="G37" t="str">
            <v>NA</v>
          </cell>
          <cell r="H37" t="str">
            <v>NA</v>
          </cell>
          <cell r="I37" t="str">
            <v>NA</v>
          </cell>
          <cell r="J37" t="str">
            <v>NA</v>
          </cell>
          <cell r="K37" t="str">
            <v>NA</v>
          </cell>
          <cell r="L37">
            <v>0</v>
          </cell>
          <cell r="M37">
            <v>0</v>
          </cell>
        </row>
      </sheetData>
      <sheetData sheetId="7">
        <row r="2">
          <cell r="B2" t="str">
            <v>PS Name</v>
          </cell>
          <cell r="C2" t="str">
            <v>No. of Zero FIRs Registered</v>
          </cell>
          <cell r="D2" t="str">
            <v>Pending to Transfer</v>
          </cell>
          <cell r="E2" t="str">
            <v>No. of Zero FIRs Received</v>
          </cell>
          <cell r="F2" t="str">
            <v>Pending to  Re-Register</v>
          </cell>
          <cell r="G2" t="str">
            <v>Raw Value</v>
          </cell>
          <cell r="H2" t="str">
            <v>Marks</v>
          </cell>
        </row>
        <row r="3">
          <cell r="B3" t="str">
            <v>Avanigadda</v>
          </cell>
          <cell r="C3">
            <v>0</v>
          </cell>
          <cell r="D3">
            <v>0</v>
          </cell>
          <cell r="E3">
            <v>0</v>
          </cell>
          <cell r="F3">
            <v>0</v>
          </cell>
          <cell r="G3">
            <v>100</v>
          </cell>
          <cell r="H3">
            <v>5</v>
          </cell>
        </row>
        <row r="4">
          <cell r="B4" t="str">
            <v>Koduru</v>
          </cell>
          <cell r="C4">
            <v>0</v>
          </cell>
          <cell r="D4">
            <v>0</v>
          </cell>
          <cell r="E4">
            <v>0</v>
          </cell>
          <cell r="F4">
            <v>0</v>
          </cell>
          <cell r="G4">
            <v>100</v>
          </cell>
          <cell r="H4">
            <v>5</v>
          </cell>
        </row>
        <row r="5">
          <cell r="B5" t="str">
            <v>Nagayalanka</v>
          </cell>
          <cell r="C5">
            <v>0</v>
          </cell>
          <cell r="D5">
            <v>0</v>
          </cell>
          <cell r="E5">
            <v>0</v>
          </cell>
          <cell r="F5">
            <v>0</v>
          </cell>
          <cell r="G5">
            <v>100</v>
          </cell>
          <cell r="H5">
            <v>5</v>
          </cell>
        </row>
        <row r="6">
          <cell r="B6" t="str">
            <v>Challapalli</v>
          </cell>
          <cell r="C6">
            <v>0</v>
          </cell>
          <cell r="D6">
            <v>0</v>
          </cell>
          <cell r="E6">
            <v>0</v>
          </cell>
          <cell r="F6">
            <v>0</v>
          </cell>
          <cell r="G6">
            <v>100</v>
          </cell>
          <cell r="H6">
            <v>5</v>
          </cell>
        </row>
        <row r="7">
          <cell r="B7" t="str">
            <v>Ghantasala</v>
          </cell>
          <cell r="C7">
            <v>0</v>
          </cell>
          <cell r="D7">
            <v>0</v>
          </cell>
          <cell r="E7">
            <v>0</v>
          </cell>
          <cell r="F7">
            <v>0</v>
          </cell>
          <cell r="G7">
            <v>100</v>
          </cell>
          <cell r="H7">
            <v>5</v>
          </cell>
        </row>
        <row r="8">
          <cell r="B8" t="str">
            <v>Bantumilli</v>
          </cell>
          <cell r="C8">
            <v>0</v>
          </cell>
          <cell r="D8">
            <v>0</v>
          </cell>
          <cell r="E8">
            <v>0</v>
          </cell>
          <cell r="F8">
            <v>0</v>
          </cell>
          <cell r="G8">
            <v>100</v>
          </cell>
          <cell r="H8">
            <v>5</v>
          </cell>
        </row>
        <row r="9">
          <cell r="B9" t="str">
            <v>Guduru</v>
          </cell>
          <cell r="C9">
            <v>0</v>
          </cell>
          <cell r="D9">
            <v>0</v>
          </cell>
          <cell r="E9">
            <v>0</v>
          </cell>
          <cell r="F9">
            <v>0</v>
          </cell>
          <cell r="G9">
            <v>100</v>
          </cell>
          <cell r="H9">
            <v>5</v>
          </cell>
        </row>
        <row r="10">
          <cell r="B10" t="str">
            <v>Kruthivennu</v>
          </cell>
          <cell r="C10">
            <v>0</v>
          </cell>
          <cell r="D10">
            <v>0</v>
          </cell>
          <cell r="E10">
            <v>0</v>
          </cell>
          <cell r="F10">
            <v>0</v>
          </cell>
          <cell r="G10">
            <v>100</v>
          </cell>
          <cell r="H10">
            <v>5</v>
          </cell>
        </row>
        <row r="11">
          <cell r="B11" t="str">
            <v>Pedana</v>
          </cell>
          <cell r="C11">
            <v>0</v>
          </cell>
          <cell r="D11">
            <v>0</v>
          </cell>
          <cell r="E11">
            <v>0</v>
          </cell>
          <cell r="F11">
            <v>0</v>
          </cell>
          <cell r="G11">
            <v>100</v>
          </cell>
          <cell r="H11">
            <v>5</v>
          </cell>
        </row>
        <row r="12">
          <cell r="B12" t="str">
            <v>Chilakalapudi UPS</v>
          </cell>
          <cell r="C12">
            <v>0</v>
          </cell>
          <cell r="D12">
            <v>0</v>
          </cell>
          <cell r="E12">
            <v>0</v>
          </cell>
          <cell r="F12">
            <v>0</v>
          </cell>
          <cell r="G12">
            <v>100</v>
          </cell>
          <cell r="H12">
            <v>5</v>
          </cell>
        </row>
        <row r="13">
          <cell r="B13" t="str">
            <v>Inaguduru UPS</v>
          </cell>
          <cell r="C13">
            <v>0</v>
          </cell>
          <cell r="D13">
            <v>0</v>
          </cell>
          <cell r="E13">
            <v>0</v>
          </cell>
          <cell r="F13">
            <v>0</v>
          </cell>
          <cell r="G13">
            <v>100</v>
          </cell>
          <cell r="H13">
            <v>5</v>
          </cell>
        </row>
        <row r="14">
          <cell r="B14" t="str">
            <v>Robertsonpet</v>
          </cell>
          <cell r="C14">
            <v>0</v>
          </cell>
          <cell r="D14">
            <v>0</v>
          </cell>
          <cell r="E14">
            <v>0</v>
          </cell>
          <cell r="F14">
            <v>0</v>
          </cell>
          <cell r="G14">
            <v>100</v>
          </cell>
          <cell r="H14">
            <v>5</v>
          </cell>
        </row>
        <row r="15">
          <cell r="B15" t="str">
            <v>Bandar Taluk PS</v>
          </cell>
          <cell r="C15">
            <v>0</v>
          </cell>
          <cell r="D15">
            <v>0</v>
          </cell>
          <cell r="E15">
            <v>0</v>
          </cell>
          <cell r="F15">
            <v>0</v>
          </cell>
          <cell r="G15">
            <v>100</v>
          </cell>
          <cell r="H15">
            <v>5</v>
          </cell>
        </row>
        <row r="16">
          <cell r="B16" t="str">
            <v>Machilipatnam Town</v>
          </cell>
          <cell r="C16">
            <v>0</v>
          </cell>
          <cell r="D16">
            <v>0</v>
          </cell>
          <cell r="E16">
            <v>0</v>
          </cell>
          <cell r="F16">
            <v>0</v>
          </cell>
          <cell r="G16">
            <v>100</v>
          </cell>
          <cell r="H16">
            <v>5</v>
          </cell>
        </row>
        <row r="17">
          <cell r="B17" t="str">
            <v>Unguturu</v>
          </cell>
          <cell r="C17">
            <v>0</v>
          </cell>
          <cell r="D17">
            <v>0</v>
          </cell>
          <cell r="E17">
            <v>0</v>
          </cell>
          <cell r="F17">
            <v>0</v>
          </cell>
          <cell r="G17">
            <v>100</v>
          </cell>
          <cell r="H17">
            <v>5</v>
          </cell>
        </row>
        <row r="18">
          <cell r="B18" t="str">
            <v>Atkuru</v>
          </cell>
          <cell r="C18">
            <v>0</v>
          </cell>
          <cell r="D18">
            <v>0</v>
          </cell>
          <cell r="E18">
            <v>0</v>
          </cell>
          <cell r="F18">
            <v>0</v>
          </cell>
          <cell r="G18">
            <v>100</v>
          </cell>
          <cell r="H18">
            <v>5</v>
          </cell>
        </row>
        <row r="19">
          <cell r="B19" t="str">
            <v>Hanuman Junction</v>
          </cell>
          <cell r="C19">
            <v>0</v>
          </cell>
          <cell r="D19">
            <v>0</v>
          </cell>
          <cell r="E19">
            <v>0</v>
          </cell>
          <cell r="F19">
            <v>0</v>
          </cell>
          <cell r="G19">
            <v>100</v>
          </cell>
          <cell r="H19">
            <v>5</v>
          </cell>
        </row>
        <row r="20">
          <cell r="B20" t="str">
            <v>Veeravalli</v>
          </cell>
          <cell r="C20">
            <v>0</v>
          </cell>
          <cell r="D20">
            <v>0</v>
          </cell>
          <cell r="E20">
            <v>0</v>
          </cell>
          <cell r="F20">
            <v>0</v>
          </cell>
          <cell r="G20">
            <v>100</v>
          </cell>
          <cell r="H20">
            <v>5</v>
          </cell>
        </row>
        <row r="21">
          <cell r="B21" t="str">
            <v>Kankipadu</v>
          </cell>
          <cell r="C21">
            <v>0</v>
          </cell>
          <cell r="D21">
            <v>0</v>
          </cell>
          <cell r="E21">
            <v>0</v>
          </cell>
          <cell r="F21">
            <v>0</v>
          </cell>
          <cell r="G21">
            <v>100</v>
          </cell>
          <cell r="H21">
            <v>5</v>
          </cell>
        </row>
        <row r="22">
          <cell r="B22" t="str">
            <v>Vuyyuru Rural</v>
          </cell>
          <cell r="C22">
            <v>0</v>
          </cell>
          <cell r="D22">
            <v>0</v>
          </cell>
          <cell r="E22">
            <v>0</v>
          </cell>
          <cell r="F22">
            <v>0</v>
          </cell>
          <cell r="G22">
            <v>100</v>
          </cell>
          <cell r="H22">
            <v>5</v>
          </cell>
        </row>
        <row r="23">
          <cell r="B23" t="str">
            <v>Gannavaram UPS</v>
          </cell>
          <cell r="C23">
            <v>0</v>
          </cell>
          <cell r="D23">
            <v>0</v>
          </cell>
          <cell r="E23">
            <v>0</v>
          </cell>
          <cell r="F23">
            <v>0</v>
          </cell>
          <cell r="G23">
            <v>100</v>
          </cell>
          <cell r="H23">
            <v>5</v>
          </cell>
        </row>
        <row r="24">
          <cell r="B24" t="str">
            <v>Penamaluru UPS</v>
          </cell>
          <cell r="C24">
            <v>0</v>
          </cell>
          <cell r="D24">
            <v>0</v>
          </cell>
          <cell r="E24">
            <v>0</v>
          </cell>
          <cell r="F24">
            <v>0</v>
          </cell>
          <cell r="G24">
            <v>100</v>
          </cell>
          <cell r="H24">
            <v>5</v>
          </cell>
        </row>
        <row r="25">
          <cell r="B25" t="str">
            <v>Vuyyuru Town UPS</v>
          </cell>
          <cell r="C25">
            <v>0</v>
          </cell>
          <cell r="D25">
            <v>0</v>
          </cell>
          <cell r="E25">
            <v>0</v>
          </cell>
          <cell r="F25">
            <v>0</v>
          </cell>
          <cell r="G25">
            <v>100</v>
          </cell>
          <cell r="H25">
            <v>5</v>
          </cell>
        </row>
        <row r="26">
          <cell r="B26" t="str">
            <v>Gudivada Rural</v>
          </cell>
          <cell r="C26">
            <v>0</v>
          </cell>
          <cell r="D26">
            <v>0</v>
          </cell>
          <cell r="E26">
            <v>0</v>
          </cell>
          <cell r="F26">
            <v>0</v>
          </cell>
          <cell r="G26">
            <v>100</v>
          </cell>
          <cell r="H26">
            <v>5</v>
          </cell>
        </row>
        <row r="27">
          <cell r="B27" t="str">
            <v>Gudlavalleru</v>
          </cell>
          <cell r="C27">
            <v>0</v>
          </cell>
          <cell r="D27">
            <v>0</v>
          </cell>
          <cell r="E27">
            <v>0</v>
          </cell>
          <cell r="F27">
            <v>0</v>
          </cell>
          <cell r="G27">
            <v>100</v>
          </cell>
          <cell r="H27">
            <v>5</v>
          </cell>
        </row>
        <row r="28">
          <cell r="B28" t="str">
            <v>Nandivada</v>
          </cell>
          <cell r="C28">
            <v>0</v>
          </cell>
          <cell r="D28">
            <v>0</v>
          </cell>
          <cell r="E28">
            <v>0</v>
          </cell>
          <cell r="F28">
            <v>0</v>
          </cell>
          <cell r="G28">
            <v>100</v>
          </cell>
          <cell r="H28">
            <v>5</v>
          </cell>
        </row>
        <row r="29">
          <cell r="B29" t="str">
            <v>Gudivada I Town UPS</v>
          </cell>
          <cell r="C29">
            <v>0</v>
          </cell>
          <cell r="D29">
            <v>0</v>
          </cell>
          <cell r="E29">
            <v>0</v>
          </cell>
          <cell r="F29">
            <v>0</v>
          </cell>
          <cell r="G29">
            <v>100</v>
          </cell>
          <cell r="H29">
            <v>5</v>
          </cell>
        </row>
        <row r="30">
          <cell r="B30" t="str">
            <v>Gudivada II Town UPS</v>
          </cell>
          <cell r="C30">
            <v>0</v>
          </cell>
          <cell r="D30">
            <v>0</v>
          </cell>
          <cell r="E30">
            <v>0</v>
          </cell>
          <cell r="F30">
            <v>0</v>
          </cell>
          <cell r="G30">
            <v>100</v>
          </cell>
          <cell r="H30">
            <v>5</v>
          </cell>
        </row>
        <row r="31">
          <cell r="B31" t="str">
            <v>Kuchipudi</v>
          </cell>
          <cell r="C31">
            <v>0</v>
          </cell>
          <cell r="D31">
            <v>0</v>
          </cell>
          <cell r="E31">
            <v>0</v>
          </cell>
          <cell r="F31">
            <v>0</v>
          </cell>
          <cell r="G31">
            <v>100</v>
          </cell>
          <cell r="H31">
            <v>5</v>
          </cell>
        </row>
        <row r="32">
          <cell r="B32" t="str">
            <v>Pamarru</v>
          </cell>
          <cell r="C32">
            <v>0</v>
          </cell>
          <cell r="D32">
            <v>0</v>
          </cell>
          <cell r="E32">
            <v>0</v>
          </cell>
          <cell r="F32">
            <v>0</v>
          </cell>
          <cell r="G32">
            <v>100</v>
          </cell>
          <cell r="H32">
            <v>5</v>
          </cell>
        </row>
        <row r="33">
          <cell r="B33" t="str">
            <v>Pedaparupudi</v>
          </cell>
          <cell r="C33">
            <v>0</v>
          </cell>
          <cell r="D33">
            <v>0</v>
          </cell>
          <cell r="E33">
            <v>0</v>
          </cell>
          <cell r="F33">
            <v>0</v>
          </cell>
          <cell r="G33">
            <v>100</v>
          </cell>
          <cell r="H33">
            <v>5</v>
          </cell>
        </row>
        <row r="34">
          <cell r="B34" t="str">
            <v>Pamidimukkala</v>
          </cell>
          <cell r="C34">
            <v>0</v>
          </cell>
          <cell r="D34">
            <v>0</v>
          </cell>
          <cell r="E34">
            <v>0</v>
          </cell>
          <cell r="F34">
            <v>0</v>
          </cell>
          <cell r="G34">
            <v>100</v>
          </cell>
          <cell r="H34">
            <v>5</v>
          </cell>
        </row>
        <row r="35">
          <cell r="B35" t="str">
            <v>Thotlavalluru</v>
          </cell>
          <cell r="C35">
            <v>0</v>
          </cell>
          <cell r="D35">
            <v>0</v>
          </cell>
          <cell r="E35">
            <v>0</v>
          </cell>
          <cell r="F35">
            <v>0</v>
          </cell>
          <cell r="G35">
            <v>100</v>
          </cell>
          <cell r="H35">
            <v>5</v>
          </cell>
        </row>
        <row r="36">
          <cell r="B36" t="str">
            <v>Mahila UPS, Machilipatnam</v>
          </cell>
          <cell r="C36">
            <v>0</v>
          </cell>
          <cell r="D36">
            <v>0</v>
          </cell>
          <cell r="E36">
            <v>0</v>
          </cell>
          <cell r="F36">
            <v>0</v>
          </cell>
          <cell r="G36">
            <v>100</v>
          </cell>
          <cell r="H36">
            <v>5</v>
          </cell>
        </row>
      </sheetData>
      <sheetData sheetId="8">
        <row r="2">
          <cell r="B2" t="str">
            <v>PS NAME</v>
          </cell>
          <cell r="C2" t="str">
            <v>Total Online Petitions</v>
          </cell>
          <cell r="D2" t="str">
            <v>Total Disposal Petitions</v>
          </cell>
          <cell r="E2" t="str">
            <v>Total Pending Petitions</v>
          </cell>
          <cell r="F2" t="str">
            <v>Pending %</v>
          </cell>
          <cell r="G2" t="str">
            <v>Raw Value</v>
          </cell>
          <cell r="H2" t="str">
            <v>Marks</v>
          </cell>
        </row>
        <row r="3">
          <cell r="B3" t="str">
            <v>Avanigadda</v>
          </cell>
          <cell r="C3">
            <v>10</v>
          </cell>
          <cell r="D3">
            <v>10</v>
          </cell>
          <cell r="E3">
            <v>0</v>
          </cell>
          <cell r="F3">
            <v>0</v>
          </cell>
          <cell r="G3">
            <v>100</v>
          </cell>
          <cell r="H3">
            <v>5</v>
          </cell>
        </row>
        <row r="4">
          <cell r="B4" t="str">
            <v>Koduru</v>
          </cell>
          <cell r="C4">
            <v>13</v>
          </cell>
          <cell r="D4">
            <v>12</v>
          </cell>
          <cell r="E4">
            <v>1</v>
          </cell>
          <cell r="F4">
            <v>7.6923076923076925</v>
          </cell>
          <cell r="G4">
            <v>92.307692307692307</v>
          </cell>
          <cell r="H4">
            <v>4.6153846153846159</v>
          </cell>
        </row>
        <row r="5">
          <cell r="B5" t="str">
            <v>Nagayalanka</v>
          </cell>
          <cell r="C5">
            <v>10</v>
          </cell>
          <cell r="D5">
            <v>10</v>
          </cell>
          <cell r="E5">
            <v>0</v>
          </cell>
          <cell r="F5">
            <v>0</v>
          </cell>
          <cell r="G5">
            <v>100</v>
          </cell>
          <cell r="H5">
            <v>5</v>
          </cell>
        </row>
        <row r="6">
          <cell r="B6" t="str">
            <v>Challapalli</v>
          </cell>
          <cell r="C6">
            <v>10</v>
          </cell>
          <cell r="D6">
            <v>10</v>
          </cell>
          <cell r="E6">
            <v>0</v>
          </cell>
          <cell r="F6">
            <v>0</v>
          </cell>
          <cell r="G6">
            <v>100</v>
          </cell>
          <cell r="H6">
            <v>5</v>
          </cell>
        </row>
        <row r="7">
          <cell r="B7" t="str">
            <v>Ghantasala</v>
          </cell>
          <cell r="C7">
            <v>22</v>
          </cell>
          <cell r="D7">
            <v>22</v>
          </cell>
          <cell r="E7">
            <v>0</v>
          </cell>
          <cell r="F7">
            <v>0</v>
          </cell>
          <cell r="G7">
            <v>100</v>
          </cell>
          <cell r="H7">
            <v>5</v>
          </cell>
        </row>
        <row r="8">
          <cell r="B8" t="str">
            <v>Bantumilli</v>
          </cell>
          <cell r="C8">
            <v>18</v>
          </cell>
          <cell r="D8">
            <v>18</v>
          </cell>
          <cell r="E8">
            <v>0</v>
          </cell>
          <cell r="F8">
            <v>0</v>
          </cell>
          <cell r="G8">
            <v>100</v>
          </cell>
          <cell r="H8">
            <v>5</v>
          </cell>
        </row>
        <row r="9">
          <cell r="B9" t="str">
            <v>Guduru</v>
          </cell>
          <cell r="C9">
            <v>3</v>
          </cell>
          <cell r="D9">
            <v>3</v>
          </cell>
          <cell r="E9">
            <v>0</v>
          </cell>
          <cell r="F9">
            <v>0</v>
          </cell>
          <cell r="G9">
            <v>100</v>
          </cell>
          <cell r="H9">
            <v>5</v>
          </cell>
        </row>
        <row r="10">
          <cell r="B10" t="str">
            <v>Kruthivennu</v>
          </cell>
          <cell r="C10">
            <v>3</v>
          </cell>
          <cell r="D10">
            <v>3</v>
          </cell>
          <cell r="E10">
            <v>0</v>
          </cell>
          <cell r="F10">
            <v>0</v>
          </cell>
          <cell r="G10">
            <v>100</v>
          </cell>
          <cell r="H10">
            <v>5</v>
          </cell>
        </row>
        <row r="11">
          <cell r="B11" t="str">
            <v>Pedana</v>
          </cell>
          <cell r="C11">
            <v>30</v>
          </cell>
          <cell r="D11">
            <v>29</v>
          </cell>
          <cell r="E11">
            <v>1</v>
          </cell>
          <cell r="F11">
            <v>3.3333333333333335</v>
          </cell>
          <cell r="G11">
            <v>96.666666666666671</v>
          </cell>
          <cell r="H11">
            <v>4.8333333333333339</v>
          </cell>
        </row>
        <row r="12">
          <cell r="B12" t="str">
            <v>Chilakalapudi UPS</v>
          </cell>
          <cell r="C12">
            <v>30</v>
          </cell>
          <cell r="D12">
            <v>30</v>
          </cell>
          <cell r="E12">
            <v>0</v>
          </cell>
          <cell r="F12">
            <v>0</v>
          </cell>
          <cell r="G12">
            <v>100</v>
          </cell>
          <cell r="H12">
            <v>5</v>
          </cell>
        </row>
        <row r="13">
          <cell r="B13" t="str">
            <v>Inaguduru UPS</v>
          </cell>
          <cell r="C13">
            <v>13</v>
          </cell>
          <cell r="D13">
            <v>12</v>
          </cell>
          <cell r="E13">
            <v>1</v>
          </cell>
          <cell r="F13">
            <v>7.6923076923076925</v>
          </cell>
          <cell r="G13">
            <v>92.307692307692307</v>
          </cell>
          <cell r="H13">
            <v>4.6153846153846159</v>
          </cell>
        </row>
        <row r="14">
          <cell r="B14" t="str">
            <v>Robertsonpet</v>
          </cell>
          <cell r="C14">
            <v>4</v>
          </cell>
          <cell r="D14">
            <v>4</v>
          </cell>
          <cell r="E14">
            <v>0</v>
          </cell>
          <cell r="F14">
            <v>0</v>
          </cell>
          <cell r="G14">
            <v>100</v>
          </cell>
          <cell r="H14">
            <v>5</v>
          </cell>
        </row>
        <row r="15">
          <cell r="B15" t="str">
            <v>Bandar Taluk PS</v>
          </cell>
          <cell r="C15">
            <v>16</v>
          </cell>
          <cell r="D15">
            <v>16</v>
          </cell>
          <cell r="E15">
            <v>0</v>
          </cell>
          <cell r="F15">
            <v>0</v>
          </cell>
          <cell r="G15">
            <v>100</v>
          </cell>
          <cell r="H15">
            <v>5</v>
          </cell>
        </row>
        <row r="16">
          <cell r="B16" t="str">
            <v>Machilipatnam Town</v>
          </cell>
          <cell r="C16">
            <v>90</v>
          </cell>
          <cell r="D16">
            <v>90</v>
          </cell>
          <cell r="E16">
            <v>0</v>
          </cell>
          <cell r="F16">
            <v>0</v>
          </cell>
          <cell r="G16">
            <v>100</v>
          </cell>
          <cell r="H16">
            <v>5</v>
          </cell>
        </row>
        <row r="17">
          <cell r="B17" t="str">
            <v>Unguturu</v>
          </cell>
          <cell r="C17">
            <v>9</v>
          </cell>
          <cell r="D17">
            <v>9</v>
          </cell>
          <cell r="E17">
            <v>0</v>
          </cell>
          <cell r="F17">
            <v>0</v>
          </cell>
          <cell r="G17">
            <v>100</v>
          </cell>
          <cell r="H17">
            <v>5</v>
          </cell>
        </row>
        <row r="18">
          <cell r="B18" t="str">
            <v>Atkuru</v>
          </cell>
          <cell r="C18">
            <v>4</v>
          </cell>
          <cell r="D18">
            <v>4</v>
          </cell>
          <cell r="E18">
            <v>0</v>
          </cell>
          <cell r="F18">
            <v>0</v>
          </cell>
          <cell r="G18">
            <v>100</v>
          </cell>
          <cell r="H18">
            <v>5</v>
          </cell>
        </row>
        <row r="19">
          <cell r="B19" t="str">
            <v>Hanuman Junction</v>
          </cell>
          <cell r="C19">
            <v>32</v>
          </cell>
          <cell r="D19">
            <v>32</v>
          </cell>
          <cell r="E19">
            <v>0</v>
          </cell>
          <cell r="F19">
            <v>0</v>
          </cell>
          <cell r="G19">
            <v>100</v>
          </cell>
          <cell r="H19">
            <v>5</v>
          </cell>
        </row>
        <row r="20">
          <cell r="B20" t="str">
            <v>Veeravalli</v>
          </cell>
          <cell r="C20">
            <v>2</v>
          </cell>
          <cell r="D20">
            <v>2</v>
          </cell>
          <cell r="E20">
            <v>0</v>
          </cell>
          <cell r="F20">
            <v>0</v>
          </cell>
          <cell r="G20">
            <v>100</v>
          </cell>
          <cell r="H20">
            <v>5</v>
          </cell>
        </row>
        <row r="21">
          <cell r="B21" t="str">
            <v>Kankipadu</v>
          </cell>
          <cell r="C21">
            <v>26</v>
          </cell>
          <cell r="D21">
            <v>26</v>
          </cell>
          <cell r="E21">
            <v>0</v>
          </cell>
          <cell r="F21">
            <v>0</v>
          </cell>
          <cell r="G21">
            <v>100</v>
          </cell>
          <cell r="H21">
            <v>5</v>
          </cell>
        </row>
        <row r="22">
          <cell r="B22" t="str">
            <v>Vuyyuru Rural</v>
          </cell>
          <cell r="C22">
            <v>10</v>
          </cell>
          <cell r="D22">
            <v>10</v>
          </cell>
          <cell r="E22">
            <v>0</v>
          </cell>
          <cell r="F22">
            <v>0</v>
          </cell>
          <cell r="G22">
            <v>100</v>
          </cell>
          <cell r="H22">
            <v>5</v>
          </cell>
        </row>
        <row r="23">
          <cell r="B23" t="str">
            <v>Gannavaram UPS</v>
          </cell>
          <cell r="C23">
            <v>84</v>
          </cell>
          <cell r="D23">
            <v>84</v>
          </cell>
          <cell r="E23">
            <v>0</v>
          </cell>
          <cell r="F23">
            <v>0</v>
          </cell>
          <cell r="G23">
            <v>100</v>
          </cell>
          <cell r="H23">
            <v>5</v>
          </cell>
        </row>
        <row r="24">
          <cell r="B24" t="str">
            <v>Penamaluru UPS</v>
          </cell>
          <cell r="C24">
            <v>174</v>
          </cell>
          <cell r="D24">
            <v>173</v>
          </cell>
          <cell r="E24">
            <v>1</v>
          </cell>
          <cell r="F24">
            <v>0.57471264367816088</v>
          </cell>
          <cell r="G24">
            <v>99.425287356321846</v>
          </cell>
          <cell r="H24">
            <v>4.9712643678160928</v>
          </cell>
        </row>
        <row r="25">
          <cell r="B25" t="str">
            <v>Vuyyuru Town UPS</v>
          </cell>
          <cell r="C25">
            <v>27</v>
          </cell>
          <cell r="D25">
            <v>27</v>
          </cell>
          <cell r="E25">
            <v>0</v>
          </cell>
          <cell r="F25">
            <v>0</v>
          </cell>
          <cell r="G25">
            <v>100</v>
          </cell>
          <cell r="H25">
            <v>5</v>
          </cell>
        </row>
        <row r="26">
          <cell r="B26" t="str">
            <v>Gudivada Rural</v>
          </cell>
          <cell r="C26">
            <v>11</v>
          </cell>
          <cell r="D26">
            <v>11</v>
          </cell>
          <cell r="E26">
            <v>0</v>
          </cell>
          <cell r="F26">
            <v>0</v>
          </cell>
          <cell r="G26">
            <v>100</v>
          </cell>
          <cell r="H26">
            <v>5</v>
          </cell>
        </row>
        <row r="27">
          <cell r="B27" t="str">
            <v>Gudlavalleru</v>
          </cell>
          <cell r="C27">
            <v>7</v>
          </cell>
          <cell r="D27">
            <v>7</v>
          </cell>
          <cell r="E27">
            <v>0</v>
          </cell>
          <cell r="F27">
            <v>0</v>
          </cell>
          <cell r="G27">
            <v>100</v>
          </cell>
          <cell r="H27">
            <v>5</v>
          </cell>
        </row>
        <row r="28">
          <cell r="B28" t="str">
            <v>Nandivada</v>
          </cell>
          <cell r="C28">
            <v>8</v>
          </cell>
          <cell r="D28">
            <v>8</v>
          </cell>
          <cell r="E28">
            <v>0</v>
          </cell>
          <cell r="F28">
            <v>0</v>
          </cell>
          <cell r="G28">
            <v>100</v>
          </cell>
          <cell r="H28">
            <v>5</v>
          </cell>
        </row>
        <row r="29">
          <cell r="B29" t="str">
            <v>Gudivada I Town UPS</v>
          </cell>
          <cell r="C29">
            <v>23</v>
          </cell>
          <cell r="D29">
            <v>23</v>
          </cell>
          <cell r="E29">
            <v>0</v>
          </cell>
          <cell r="F29">
            <v>0</v>
          </cell>
          <cell r="G29">
            <v>100</v>
          </cell>
          <cell r="H29">
            <v>5</v>
          </cell>
        </row>
        <row r="30">
          <cell r="B30" t="str">
            <v>Gudivada II Town UPS</v>
          </cell>
          <cell r="C30">
            <v>39</v>
          </cell>
          <cell r="D30">
            <v>39</v>
          </cell>
          <cell r="E30">
            <v>0</v>
          </cell>
          <cell r="F30">
            <v>0</v>
          </cell>
          <cell r="G30">
            <v>100</v>
          </cell>
          <cell r="H30">
            <v>5</v>
          </cell>
        </row>
        <row r="31">
          <cell r="B31" t="str">
            <v>Kuchipudi</v>
          </cell>
          <cell r="C31">
            <v>7</v>
          </cell>
          <cell r="D31">
            <v>7</v>
          </cell>
          <cell r="E31">
            <v>0</v>
          </cell>
          <cell r="F31">
            <v>0</v>
          </cell>
          <cell r="G31">
            <v>100</v>
          </cell>
          <cell r="H31">
            <v>5</v>
          </cell>
        </row>
        <row r="32">
          <cell r="B32" t="str">
            <v>Pamarru</v>
          </cell>
          <cell r="C32">
            <v>16</v>
          </cell>
          <cell r="D32">
            <v>16</v>
          </cell>
          <cell r="E32">
            <v>0</v>
          </cell>
          <cell r="F32">
            <v>0</v>
          </cell>
          <cell r="G32">
            <v>100</v>
          </cell>
          <cell r="H32">
            <v>5</v>
          </cell>
        </row>
        <row r="33">
          <cell r="B33" t="str">
            <v>Pedaparupudi</v>
          </cell>
          <cell r="C33">
            <v>3</v>
          </cell>
          <cell r="D33">
            <v>3</v>
          </cell>
          <cell r="E33">
            <v>0</v>
          </cell>
          <cell r="F33">
            <v>0</v>
          </cell>
          <cell r="G33">
            <v>100</v>
          </cell>
          <cell r="H33">
            <v>5</v>
          </cell>
        </row>
        <row r="34">
          <cell r="B34" t="str">
            <v>Pamidimukkala</v>
          </cell>
          <cell r="C34">
            <v>8</v>
          </cell>
          <cell r="D34">
            <v>8</v>
          </cell>
          <cell r="E34">
            <v>0</v>
          </cell>
          <cell r="F34">
            <v>0</v>
          </cell>
          <cell r="G34">
            <v>100</v>
          </cell>
          <cell r="H34">
            <v>5</v>
          </cell>
        </row>
        <row r="35">
          <cell r="B35" t="str">
            <v>Thotlavalluru</v>
          </cell>
          <cell r="C35">
            <v>4</v>
          </cell>
          <cell r="D35">
            <v>4</v>
          </cell>
          <cell r="E35">
            <v>0</v>
          </cell>
          <cell r="F35">
            <v>0</v>
          </cell>
          <cell r="G35">
            <v>100</v>
          </cell>
          <cell r="H35">
            <v>5</v>
          </cell>
        </row>
        <row r="36">
          <cell r="B36" t="str">
            <v>Mahila UPS, Machilipatnam</v>
          </cell>
          <cell r="C36">
            <v>14</v>
          </cell>
          <cell r="D36">
            <v>13</v>
          </cell>
          <cell r="E36">
            <v>1</v>
          </cell>
          <cell r="F36">
            <v>7.1428571428571432</v>
          </cell>
          <cell r="G36">
            <v>92.857142857142861</v>
          </cell>
          <cell r="H36">
            <v>4.6428571428571432</v>
          </cell>
        </row>
        <row r="37">
          <cell r="C37">
            <v>780</v>
          </cell>
          <cell r="D37">
            <v>775</v>
          </cell>
          <cell r="E37">
            <v>5</v>
          </cell>
          <cell r="F37">
            <v>0.77751525013188305</v>
          </cell>
          <cell r="G37">
            <v>99.222484749868116</v>
          </cell>
          <cell r="H37">
            <v>4.9611242374934053</v>
          </cell>
        </row>
      </sheetData>
      <sheetData sheetId="9">
        <row r="2">
          <cell r="B2" t="str">
            <v>PS NAME
(B)</v>
          </cell>
          <cell r="C2" t="str">
            <v>TOTAL 
FIRS
( C )</v>
          </cell>
          <cell r="D2" t="str">
            <v>TOTAL SIDs
CREATED
( D )</v>
          </cell>
          <cell r="E2" t="str">
            <v>FIRS HAVING SID (F )</v>
          </cell>
          <cell r="F2" t="str">
            <v>FIRS NOT 
HAVING  SID (G)</v>
          </cell>
          <cell r="G2" t="str">
            <v>E SAKSHYA COMPLIANCE %
F*100/C
RAW VALUE</v>
          </cell>
          <cell r="H2" t="str">
            <v>Marks</v>
          </cell>
        </row>
        <row r="4">
          <cell r="B4" t="str">
            <v>Gudivada II Town UPS</v>
          </cell>
          <cell r="C4">
            <v>485</v>
          </cell>
          <cell r="D4">
            <v>551</v>
          </cell>
          <cell r="E4">
            <v>479</v>
          </cell>
          <cell r="F4">
            <v>6</v>
          </cell>
          <cell r="G4">
            <v>98.762886597938149</v>
          </cell>
          <cell r="H4">
            <v>4.9381443298969074</v>
          </cell>
        </row>
        <row r="5">
          <cell r="B5" t="str">
            <v>Vuyyuru Town UPS</v>
          </cell>
          <cell r="C5">
            <v>548</v>
          </cell>
          <cell r="D5">
            <v>655</v>
          </cell>
          <cell r="E5">
            <v>546</v>
          </cell>
          <cell r="F5">
            <v>2</v>
          </cell>
          <cell r="G5">
            <v>99.635036496350367</v>
          </cell>
          <cell r="H5">
            <v>4.9817518248175183</v>
          </cell>
        </row>
        <row r="6">
          <cell r="B6" t="str">
            <v>Gudlavalleru</v>
          </cell>
          <cell r="C6">
            <v>470</v>
          </cell>
          <cell r="D6">
            <v>582</v>
          </cell>
          <cell r="E6">
            <v>459</v>
          </cell>
          <cell r="F6">
            <v>11</v>
          </cell>
          <cell r="G6">
            <v>97.659574468085111</v>
          </cell>
          <cell r="H6">
            <v>4.8829787234042561</v>
          </cell>
        </row>
        <row r="7">
          <cell r="B7" t="str">
            <v>Gudivada Rural</v>
          </cell>
          <cell r="C7">
            <v>534</v>
          </cell>
          <cell r="D7">
            <v>622</v>
          </cell>
          <cell r="E7">
            <v>496</v>
          </cell>
          <cell r="F7">
            <v>38</v>
          </cell>
          <cell r="G7">
            <v>92.883895131086149</v>
          </cell>
          <cell r="H7">
            <v>4.6441947565543078</v>
          </cell>
        </row>
        <row r="8">
          <cell r="B8" t="str">
            <v>Pamarru</v>
          </cell>
          <cell r="C8">
            <v>531</v>
          </cell>
          <cell r="D8">
            <v>724</v>
          </cell>
          <cell r="E8">
            <v>509</v>
          </cell>
          <cell r="F8">
            <v>22</v>
          </cell>
          <cell r="G8">
            <v>95.856873822975516</v>
          </cell>
          <cell r="H8">
            <v>4.792843691148776</v>
          </cell>
        </row>
        <row r="9">
          <cell r="B9" t="str">
            <v>Kruthivennu</v>
          </cell>
          <cell r="C9">
            <v>514</v>
          </cell>
          <cell r="D9">
            <v>561</v>
          </cell>
          <cell r="E9">
            <v>468</v>
          </cell>
          <cell r="F9">
            <v>46</v>
          </cell>
          <cell r="G9">
            <v>91.050583657587552</v>
          </cell>
          <cell r="H9">
            <v>4.5525291828793781</v>
          </cell>
        </row>
        <row r="10">
          <cell r="B10" t="str">
            <v>Bandar Taluk PS</v>
          </cell>
          <cell r="C10">
            <v>659</v>
          </cell>
          <cell r="D10">
            <v>663</v>
          </cell>
          <cell r="E10">
            <v>601</v>
          </cell>
          <cell r="F10">
            <v>58</v>
          </cell>
          <cell r="G10">
            <v>91.198786039453722</v>
          </cell>
          <cell r="H10">
            <v>4.5599393019726859</v>
          </cell>
        </row>
        <row r="11">
          <cell r="B11" t="str">
            <v>Veeravalli</v>
          </cell>
          <cell r="C11">
            <v>381</v>
          </cell>
          <cell r="D11">
            <v>378</v>
          </cell>
          <cell r="E11">
            <v>342</v>
          </cell>
          <cell r="F11">
            <v>39</v>
          </cell>
          <cell r="G11">
            <v>89.763779527559052</v>
          </cell>
          <cell r="H11">
            <v>4.4881889763779528</v>
          </cell>
        </row>
        <row r="12">
          <cell r="B12" t="str">
            <v>Guduru</v>
          </cell>
          <cell r="C12">
            <v>416</v>
          </cell>
          <cell r="D12">
            <v>474</v>
          </cell>
          <cell r="E12">
            <v>374</v>
          </cell>
          <cell r="F12">
            <v>42</v>
          </cell>
          <cell r="G12">
            <v>89.90384615384616</v>
          </cell>
          <cell r="H12">
            <v>4.4951923076923084</v>
          </cell>
        </row>
        <row r="13">
          <cell r="B13" t="str">
            <v>Machilipatnam Town</v>
          </cell>
          <cell r="C13">
            <v>357</v>
          </cell>
          <cell r="D13">
            <v>345</v>
          </cell>
          <cell r="E13">
            <v>309</v>
          </cell>
          <cell r="F13">
            <v>48</v>
          </cell>
          <cell r="G13">
            <v>86.554621848739501</v>
          </cell>
          <cell r="H13">
            <v>4.3277310924369754</v>
          </cell>
        </row>
        <row r="14">
          <cell r="B14" t="str">
            <v>Unguturu</v>
          </cell>
          <cell r="C14">
            <v>208</v>
          </cell>
          <cell r="D14">
            <v>209</v>
          </cell>
          <cell r="E14">
            <v>176</v>
          </cell>
          <cell r="F14">
            <v>32</v>
          </cell>
          <cell r="G14">
            <v>84.615384615384613</v>
          </cell>
          <cell r="H14">
            <v>4.2307692307692308</v>
          </cell>
        </row>
        <row r="15">
          <cell r="B15" t="str">
            <v>Vuyyuru Rural</v>
          </cell>
          <cell r="C15">
            <v>347</v>
          </cell>
          <cell r="D15">
            <v>342</v>
          </cell>
          <cell r="E15">
            <v>288</v>
          </cell>
          <cell r="F15">
            <v>59</v>
          </cell>
          <cell r="G15">
            <v>82.997118155619603</v>
          </cell>
          <cell r="H15">
            <v>4.1498559077809807</v>
          </cell>
        </row>
        <row r="16">
          <cell r="B16" t="str">
            <v>Nandivada</v>
          </cell>
          <cell r="C16">
            <v>413</v>
          </cell>
          <cell r="D16">
            <v>412</v>
          </cell>
          <cell r="E16">
            <v>339</v>
          </cell>
          <cell r="F16">
            <v>74</v>
          </cell>
          <cell r="G16">
            <v>82.082324455205807</v>
          </cell>
          <cell r="H16">
            <v>4.1041162227602905</v>
          </cell>
        </row>
        <row r="17">
          <cell r="B17" t="str">
            <v>Pamidimukkala</v>
          </cell>
          <cell r="C17">
            <v>372</v>
          </cell>
          <cell r="D17">
            <v>357</v>
          </cell>
          <cell r="E17">
            <v>300</v>
          </cell>
          <cell r="F17">
            <v>72</v>
          </cell>
          <cell r="G17">
            <v>80.645161290322577</v>
          </cell>
          <cell r="H17">
            <v>4.032258064516129</v>
          </cell>
        </row>
        <row r="18">
          <cell r="B18" t="str">
            <v>Avanigadda</v>
          </cell>
          <cell r="C18">
            <v>310</v>
          </cell>
          <cell r="D18">
            <v>310</v>
          </cell>
          <cell r="E18">
            <v>248</v>
          </cell>
          <cell r="F18">
            <v>62</v>
          </cell>
          <cell r="G18">
            <v>80</v>
          </cell>
          <cell r="H18">
            <v>4</v>
          </cell>
        </row>
        <row r="19">
          <cell r="B19" t="str">
            <v>Hanuman Junction</v>
          </cell>
          <cell r="C19">
            <v>562</v>
          </cell>
          <cell r="D19">
            <v>511</v>
          </cell>
          <cell r="E19">
            <v>429</v>
          </cell>
          <cell r="F19">
            <v>133</v>
          </cell>
          <cell r="G19">
            <v>76.334519572953738</v>
          </cell>
          <cell r="H19">
            <v>3.8167259786476873</v>
          </cell>
        </row>
        <row r="20">
          <cell r="B20" t="str">
            <v>Pedana</v>
          </cell>
          <cell r="C20">
            <v>498</v>
          </cell>
          <cell r="D20">
            <v>396</v>
          </cell>
          <cell r="E20">
            <v>378</v>
          </cell>
          <cell r="F20">
            <v>120</v>
          </cell>
          <cell r="G20">
            <v>75.903614457831324</v>
          </cell>
          <cell r="H20">
            <v>3.7951807228915664</v>
          </cell>
        </row>
        <row r="21">
          <cell r="B21" t="str">
            <v>Nagayalanka</v>
          </cell>
          <cell r="C21">
            <v>291</v>
          </cell>
          <cell r="D21">
            <v>347</v>
          </cell>
          <cell r="E21">
            <v>203</v>
          </cell>
          <cell r="F21">
            <v>88</v>
          </cell>
          <cell r="G21">
            <v>69.7594501718213</v>
          </cell>
          <cell r="H21">
            <v>3.4879725085910653</v>
          </cell>
        </row>
        <row r="22">
          <cell r="B22" t="str">
            <v>Pedaparupudi</v>
          </cell>
          <cell r="C22">
            <v>365</v>
          </cell>
          <cell r="D22">
            <v>453</v>
          </cell>
          <cell r="E22">
            <v>253</v>
          </cell>
          <cell r="F22">
            <v>112</v>
          </cell>
          <cell r="G22">
            <v>69.31506849315069</v>
          </cell>
          <cell r="H22">
            <v>3.4657534246575348</v>
          </cell>
        </row>
        <row r="23">
          <cell r="B23" t="str">
            <v>Bantumilli</v>
          </cell>
          <cell r="C23">
            <v>558</v>
          </cell>
          <cell r="D23">
            <v>415</v>
          </cell>
          <cell r="E23">
            <v>377</v>
          </cell>
          <cell r="F23">
            <v>181</v>
          </cell>
          <cell r="G23">
            <v>67.562724014336922</v>
          </cell>
          <cell r="H23">
            <v>3.3781362007168463</v>
          </cell>
        </row>
        <row r="24">
          <cell r="B24" t="str">
            <v>Kankipadu</v>
          </cell>
          <cell r="C24">
            <v>648</v>
          </cell>
          <cell r="D24">
            <v>501</v>
          </cell>
          <cell r="E24">
            <v>437</v>
          </cell>
          <cell r="F24">
            <v>211</v>
          </cell>
          <cell r="G24">
            <v>67.438271604938265</v>
          </cell>
          <cell r="H24">
            <v>3.3719135802469133</v>
          </cell>
        </row>
        <row r="25">
          <cell r="B25" t="str">
            <v>Kuchipudi</v>
          </cell>
          <cell r="C25">
            <v>341</v>
          </cell>
          <cell r="D25">
            <v>311</v>
          </cell>
          <cell r="E25">
            <v>228</v>
          </cell>
          <cell r="F25">
            <v>113</v>
          </cell>
          <cell r="G25">
            <v>66.862170087976537</v>
          </cell>
          <cell r="H25">
            <v>3.3431085043988271</v>
          </cell>
        </row>
        <row r="26">
          <cell r="B26" t="str">
            <v>Chilakalapudi UPS</v>
          </cell>
          <cell r="C26">
            <v>655</v>
          </cell>
          <cell r="D26">
            <v>542</v>
          </cell>
          <cell r="E26">
            <v>428</v>
          </cell>
          <cell r="F26">
            <v>227</v>
          </cell>
          <cell r="G26">
            <v>65.343511450381683</v>
          </cell>
          <cell r="H26">
            <v>3.2671755725190845</v>
          </cell>
        </row>
        <row r="27">
          <cell r="B27" t="str">
            <v>Robertsonpet</v>
          </cell>
          <cell r="C27">
            <v>355</v>
          </cell>
          <cell r="D27">
            <v>302</v>
          </cell>
          <cell r="E27">
            <v>232</v>
          </cell>
          <cell r="F27">
            <v>123</v>
          </cell>
          <cell r="G27">
            <v>65.352112676056336</v>
          </cell>
          <cell r="H27">
            <v>3.267605633802817</v>
          </cell>
        </row>
        <row r="28">
          <cell r="B28" t="str">
            <v>Thotlavalluru</v>
          </cell>
          <cell r="C28">
            <v>408</v>
          </cell>
          <cell r="D28">
            <v>298</v>
          </cell>
          <cell r="E28">
            <v>257</v>
          </cell>
          <cell r="F28">
            <v>151</v>
          </cell>
          <cell r="G28">
            <v>62.990196078431374</v>
          </cell>
          <cell r="H28">
            <v>3.149509803921569</v>
          </cell>
        </row>
        <row r="29">
          <cell r="B29" t="str">
            <v>Mahila UPS, Machilipatnam</v>
          </cell>
          <cell r="C29">
            <v>125</v>
          </cell>
          <cell r="D29">
            <v>96</v>
          </cell>
          <cell r="E29">
            <v>78</v>
          </cell>
          <cell r="F29">
            <v>47</v>
          </cell>
          <cell r="G29">
            <v>62.4</v>
          </cell>
          <cell r="H29">
            <v>3.12</v>
          </cell>
        </row>
        <row r="30">
          <cell r="B30" t="str">
            <v>Koduru</v>
          </cell>
          <cell r="C30">
            <v>351</v>
          </cell>
          <cell r="D30">
            <v>269</v>
          </cell>
          <cell r="E30">
            <v>206</v>
          </cell>
          <cell r="F30">
            <v>145</v>
          </cell>
          <cell r="G30">
            <v>58.689458689458689</v>
          </cell>
          <cell r="H30">
            <v>2.9344729344729346</v>
          </cell>
        </row>
        <row r="31">
          <cell r="B31" t="str">
            <v>Penamaluru UPS</v>
          </cell>
          <cell r="C31">
            <v>1657</v>
          </cell>
          <cell r="D31">
            <v>1141</v>
          </cell>
          <cell r="E31">
            <v>968</v>
          </cell>
          <cell r="F31">
            <v>689</v>
          </cell>
          <cell r="G31">
            <v>58.418829209414604</v>
          </cell>
          <cell r="H31">
            <v>2.9209414604707304</v>
          </cell>
        </row>
        <row r="32">
          <cell r="B32" t="str">
            <v>Ghantasala</v>
          </cell>
          <cell r="C32">
            <v>323</v>
          </cell>
          <cell r="D32">
            <v>347</v>
          </cell>
          <cell r="E32">
            <v>180</v>
          </cell>
          <cell r="F32">
            <v>143</v>
          </cell>
          <cell r="G32">
            <v>55.72755417956656</v>
          </cell>
          <cell r="H32">
            <v>2.7863777089783284</v>
          </cell>
        </row>
        <row r="33">
          <cell r="B33" t="str">
            <v>Atkuru</v>
          </cell>
          <cell r="C33">
            <v>353</v>
          </cell>
          <cell r="D33">
            <v>193</v>
          </cell>
          <cell r="E33">
            <v>177</v>
          </cell>
          <cell r="F33">
            <v>176</v>
          </cell>
          <cell r="G33">
            <v>50.141643059490086</v>
          </cell>
          <cell r="H33">
            <v>2.5070821529745047</v>
          </cell>
        </row>
        <row r="34">
          <cell r="B34" t="str">
            <v>Challapalli</v>
          </cell>
          <cell r="C34">
            <v>787</v>
          </cell>
          <cell r="D34">
            <v>484</v>
          </cell>
          <cell r="E34">
            <v>383</v>
          </cell>
          <cell r="F34">
            <v>404</v>
          </cell>
          <cell r="G34">
            <v>48.665819567979668</v>
          </cell>
          <cell r="H34">
            <v>2.4332909783989836</v>
          </cell>
        </row>
        <row r="35">
          <cell r="B35" t="str">
            <v>Inaguduru UPS</v>
          </cell>
          <cell r="C35">
            <v>479</v>
          </cell>
          <cell r="D35">
            <v>281</v>
          </cell>
          <cell r="E35">
            <v>232</v>
          </cell>
          <cell r="F35">
            <v>247</v>
          </cell>
          <cell r="G35">
            <v>48.434237995824631</v>
          </cell>
          <cell r="H35">
            <v>2.4217118997912319</v>
          </cell>
        </row>
        <row r="36">
          <cell r="B36" t="str">
            <v>Gudivada I Town UPS</v>
          </cell>
          <cell r="C36">
            <v>584</v>
          </cell>
          <cell r="D36">
            <v>399</v>
          </cell>
          <cell r="E36">
            <v>270</v>
          </cell>
          <cell r="F36">
            <v>314</v>
          </cell>
          <cell r="G36">
            <v>46.232876712328768</v>
          </cell>
          <cell r="H36">
            <v>2.3116438356164384</v>
          </cell>
        </row>
        <row r="37">
          <cell r="B37" t="str">
            <v>Gannavaram UPS</v>
          </cell>
          <cell r="C37">
            <v>720</v>
          </cell>
          <cell r="D37">
            <v>377</v>
          </cell>
          <cell r="E37">
            <v>328</v>
          </cell>
          <cell r="F37">
            <v>392</v>
          </cell>
          <cell r="G37">
            <v>45.555555555555557</v>
          </cell>
          <cell r="H37">
            <v>2.2777777777777781</v>
          </cell>
        </row>
        <row r="38">
          <cell r="C38">
            <v>16605</v>
          </cell>
          <cell r="D38">
            <v>14848</v>
          </cell>
          <cell r="E38">
            <v>11978</v>
          </cell>
          <cell r="F38">
            <v>4627</v>
          </cell>
          <cell r="G38">
            <v>72.134899126769042</v>
          </cell>
          <cell r="H38">
            <v>3.6834374791730164</v>
          </cell>
        </row>
      </sheetData>
      <sheetData sheetId="10">
        <row r="2">
          <cell r="B2" t="str">
            <v>PS Name</v>
          </cell>
          <cell r="C2" t="str">
            <v xml:space="preserve">Total FIRS 
Registered </v>
          </cell>
          <cell r="D2" t="str">
            <v>Total no. of Alerts</v>
          </cell>
          <cell r="E2" t="str">
            <v>Raw Value</v>
          </cell>
          <cell r="F2" t="str">
            <v>Marks</v>
          </cell>
        </row>
        <row r="3">
          <cell r="B3" t="str">
            <v>KUCHIPUDI</v>
          </cell>
          <cell r="C3">
            <v>1</v>
          </cell>
          <cell r="D3">
            <v>31</v>
          </cell>
          <cell r="E3">
            <v>100</v>
          </cell>
          <cell r="F3">
            <v>5</v>
          </cell>
        </row>
        <row r="4">
          <cell r="B4" t="str">
            <v>VUYYURU TOWN UPS</v>
          </cell>
          <cell r="C4">
            <v>4</v>
          </cell>
          <cell r="D4">
            <v>58</v>
          </cell>
          <cell r="E4">
            <v>100</v>
          </cell>
          <cell r="F4">
            <v>5</v>
          </cell>
        </row>
        <row r="5">
          <cell r="B5" t="str">
            <v>GUDIVADA II TOWN UPS</v>
          </cell>
          <cell r="C5">
            <v>1</v>
          </cell>
          <cell r="D5">
            <v>122</v>
          </cell>
          <cell r="E5">
            <v>100</v>
          </cell>
          <cell r="F5">
            <v>5</v>
          </cell>
        </row>
        <row r="6">
          <cell r="B6" t="str">
            <v>AVANIGADDA</v>
          </cell>
          <cell r="C6">
            <v>3</v>
          </cell>
          <cell r="D6">
            <v>22</v>
          </cell>
          <cell r="E6">
            <v>100</v>
          </cell>
          <cell r="F6">
            <v>5</v>
          </cell>
        </row>
        <row r="7">
          <cell r="B7" t="str">
            <v>GUDLAVALLERU</v>
          </cell>
          <cell r="C7">
            <v>0</v>
          </cell>
          <cell r="D7">
            <v>288</v>
          </cell>
          <cell r="E7">
            <v>100</v>
          </cell>
          <cell r="F7">
            <v>5</v>
          </cell>
        </row>
        <row r="8">
          <cell r="B8" t="str">
            <v>ROBERTSONPET</v>
          </cell>
          <cell r="C8">
            <v>2</v>
          </cell>
          <cell r="D8">
            <v>407</v>
          </cell>
          <cell r="E8">
            <v>100</v>
          </cell>
          <cell r="F8">
            <v>5</v>
          </cell>
        </row>
        <row r="9">
          <cell r="B9" t="str">
            <v>KRUTHIVENNU</v>
          </cell>
          <cell r="C9">
            <v>1</v>
          </cell>
          <cell r="D9">
            <v>73</v>
          </cell>
          <cell r="E9">
            <v>100</v>
          </cell>
          <cell r="F9">
            <v>5</v>
          </cell>
        </row>
        <row r="10">
          <cell r="B10" t="str">
            <v>NANDIVADA</v>
          </cell>
          <cell r="C10">
            <v>4</v>
          </cell>
          <cell r="D10">
            <v>171</v>
          </cell>
          <cell r="E10">
            <v>100</v>
          </cell>
          <cell r="F10">
            <v>5</v>
          </cell>
        </row>
        <row r="11">
          <cell r="B11" t="str">
            <v>GUDIVADA RURAL</v>
          </cell>
          <cell r="C11">
            <v>2</v>
          </cell>
          <cell r="D11">
            <v>197</v>
          </cell>
          <cell r="E11">
            <v>100</v>
          </cell>
          <cell r="F11">
            <v>5</v>
          </cell>
        </row>
        <row r="12">
          <cell r="B12" t="str">
            <v>PEDAPARUPUDI</v>
          </cell>
          <cell r="C12">
            <v>1</v>
          </cell>
          <cell r="D12">
            <v>85</v>
          </cell>
          <cell r="E12">
            <v>100</v>
          </cell>
          <cell r="F12">
            <v>5</v>
          </cell>
        </row>
        <row r="13">
          <cell r="B13" t="str">
            <v>UNGUTURU</v>
          </cell>
          <cell r="C13">
            <v>0</v>
          </cell>
          <cell r="D13">
            <v>215</v>
          </cell>
          <cell r="E13">
            <v>100</v>
          </cell>
          <cell r="F13">
            <v>5</v>
          </cell>
        </row>
        <row r="14">
          <cell r="B14" t="str">
            <v>CHALLAPALLI</v>
          </cell>
          <cell r="C14">
            <v>3</v>
          </cell>
          <cell r="D14">
            <v>110</v>
          </cell>
          <cell r="E14">
            <v>100</v>
          </cell>
          <cell r="F14">
            <v>5</v>
          </cell>
        </row>
        <row r="15">
          <cell r="B15" t="str">
            <v>GUDIVADA I TOWN UPS</v>
          </cell>
          <cell r="C15">
            <v>4</v>
          </cell>
          <cell r="D15">
            <v>450</v>
          </cell>
          <cell r="E15">
            <v>100</v>
          </cell>
          <cell r="F15">
            <v>5</v>
          </cell>
        </row>
        <row r="16">
          <cell r="B16" t="str">
            <v>VEERAVALLI</v>
          </cell>
          <cell r="C16">
            <v>2</v>
          </cell>
          <cell r="D16">
            <v>43</v>
          </cell>
          <cell r="E16">
            <v>100</v>
          </cell>
          <cell r="F16">
            <v>5</v>
          </cell>
        </row>
        <row r="17">
          <cell r="B17" t="str">
            <v>HANUMAN JUNCTION</v>
          </cell>
          <cell r="C17">
            <v>2</v>
          </cell>
          <cell r="D17">
            <v>67</v>
          </cell>
          <cell r="E17">
            <v>100</v>
          </cell>
          <cell r="F17">
            <v>5</v>
          </cell>
        </row>
        <row r="18">
          <cell r="B18" t="str">
            <v>GANNAVARAM UPS</v>
          </cell>
          <cell r="C18">
            <v>5</v>
          </cell>
          <cell r="D18">
            <v>92</v>
          </cell>
          <cell r="E18">
            <v>100</v>
          </cell>
          <cell r="F18">
            <v>5</v>
          </cell>
        </row>
        <row r="19">
          <cell r="B19" t="str">
            <v>MAHILA UPS, MACHILIPATNAM</v>
          </cell>
          <cell r="C19">
            <v>0</v>
          </cell>
          <cell r="D19">
            <v>7</v>
          </cell>
          <cell r="E19">
            <v>100</v>
          </cell>
          <cell r="F19">
            <v>5</v>
          </cell>
        </row>
        <row r="20">
          <cell r="B20" t="str">
            <v>NAGAYALANKA</v>
          </cell>
          <cell r="C20">
            <v>3</v>
          </cell>
          <cell r="D20">
            <v>57</v>
          </cell>
          <cell r="E20">
            <v>100</v>
          </cell>
          <cell r="F20">
            <v>5</v>
          </cell>
        </row>
        <row r="21">
          <cell r="B21" t="str">
            <v>THOTLAVALLURU</v>
          </cell>
          <cell r="C21">
            <v>4</v>
          </cell>
          <cell r="D21">
            <v>56</v>
          </cell>
          <cell r="E21">
            <v>100</v>
          </cell>
          <cell r="F21">
            <v>5</v>
          </cell>
        </row>
        <row r="22">
          <cell r="B22" t="str">
            <v>BANDAR TALUK PS</v>
          </cell>
          <cell r="C22">
            <v>1</v>
          </cell>
          <cell r="D22">
            <v>78</v>
          </cell>
          <cell r="E22">
            <v>100</v>
          </cell>
          <cell r="F22">
            <v>5</v>
          </cell>
        </row>
        <row r="23">
          <cell r="B23" t="str">
            <v>KODURU</v>
          </cell>
          <cell r="C23">
            <v>2</v>
          </cell>
          <cell r="D23">
            <v>52</v>
          </cell>
          <cell r="E23">
            <v>100</v>
          </cell>
          <cell r="F23">
            <v>5</v>
          </cell>
        </row>
        <row r="24">
          <cell r="B24" t="str">
            <v>PAMIDIMUKKALA</v>
          </cell>
          <cell r="C24">
            <v>3</v>
          </cell>
          <cell r="D24">
            <v>535</v>
          </cell>
          <cell r="E24">
            <v>100</v>
          </cell>
          <cell r="F24">
            <v>5</v>
          </cell>
        </row>
        <row r="25">
          <cell r="B25" t="str">
            <v>ATKURU</v>
          </cell>
          <cell r="C25">
            <v>3</v>
          </cell>
          <cell r="D25">
            <v>67</v>
          </cell>
          <cell r="E25">
            <v>100</v>
          </cell>
          <cell r="F25">
            <v>5</v>
          </cell>
        </row>
        <row r="26">
          <cell r="B26" t="str">
            <v>BANTUMILLI</v>
          </cell>
          <cell r="C26">
            <v>1</v>
          </cell>
          <cell r="D26">
            <v>29</v>
          </cell>
          <cell r="E26">
            <v>100</v>
          </cell>
          <cell r="F26">
            <v>5</v>
          </cell>
        </row>
        <row r="27">
          <cell r="B27" t="str">
            <v>VUYYURU RURAL</v>
          </cell>
          <cell r="C27">
            <v>1</v>
          </cell>
          <cell r="D27">
            <v>233</v>
          </cell>
          <cell r="E27">
            <v>100</v>
          </cell>
          <cell r="F27">
            <v>5</v>
          </cell>
        </row>
        <row r="28">
          <cell r="B28" t="str">
            <v>MACHILIPATNAM TOWN</v>
          </cell>
          <cell r="C28">
            <v>3</v>
          </cell>
          <cell r="D28">
            <v>313</v>
          </cell>
          <cell r="E28">
            <v>100</v>
          </cell>
          <cell r="F28">
            <v>5</v>
          </cell>
        </row>
        <row r="29">
          <cell r="B29" t="str">
            <v>CHILAKALAPUDI UPS</v>
          </cell>
          <cell r="C29">
            <v>2</v>
          </cell>
          <cell r="D29">
            <v>63</v>
          </cell>
          <cell r="E29">
            <v>100</v>
          </cell>
          <cell r="F29">
            <v>5</v>
          </cell>
        </row>
        <row r="30">
          <cell r="B30" t="str">
            <v>GHANTASALA</v>
          </cell>
          <cell r="C30">
            <v>2</v>
          </cell>
          <cell r="D30">
            <v>88</v>
          </cell>
          <cell r="E30">
            <v>100</v>
          </cell>
          <cell r="F30">
            <v>5</v>
          </cell>
        </row>
        <row r="31">
          <cell r="B31" t="str">
            <v>PEDANA</v>
          </cell>
          <cell r="C31">
            <v>3</v>
          </cell>
          <cell r="D31">
            <v>30</v>
          </cell>
          <cell r="E31">
            <v>100</v>
          </cell>
          <cell r="F31">
            <v>5</v>
          </cell>
        </row>
        <row r="32">
          <cell r="B32" t="str">
            <v>KANKIPADU</v>
          </cell>
          <cell r="C32">
            <v>5</v>
          </cell>
          <cell r="D32">
            <v>108</v>
          </cell>
          <cell r="E32">
            <v>100</v>
          </cell>
          <cell r="F32">
            <v>5</v>
          </cell>
        </row>
        <row r="33">
          <cell r="B33" t="str">
            <v>GUDURU</v>
          </cell>
          <cell r="C33">
            <v>2</v>
          </cell>
          <cell r="D33">
            <v>42</v>
          </cell>
          <cell r="E33">
            <v>100</v>
          </cell>
          <cell r="F33">
            <v>5</v>
          </cell>
        </row>
        <row r="34">
          <cell r="B34" t="str">
            <v>PAMARRU</v>
          </cell>
          <cell r="C34">
            <v>1</v>
          </cell>
          <cell r="D34">
            <v>46</v>
          </cell>
          <cell r="E34">
            <v>100</v>
          </cell>
          <cell r="F34">
            <v>5</v>
          </cell>
        </row>
        <row r="35">
          <cell r="B35" t="str">
            <v>INAGUDURU UPS</v>
          </cell>
          <cell r="C35">
            <v>0</v>
          </cell>
          <cell r="D35">
            <v>128</v>
          </cell>
          <cell r="E35">
            <v>100</v>
          </cell>
          <cell r="F35">
            <v>5</v>
          </cell>
        </row>
        <row r="36">
          <cell r="B36" t="str">
            <v>PENAMALURU UPS</v>
          </cell>
          <cell r="C36">
            <v>7</v>
          </cell>
          <cell r="D36">
            <v>177</v>
          </cell>
          <cell r="E36">
            <v>100</v>
          </cell>
          <cell r="F36">
            <v>5</v>
          </cell>
        </row>
        <row r="37">
          <cell r="C37">
            <v>78</v>
          </cell>
          <cell r="D37">
            <v>4540</v>
          </cell>
          <cell r="E37">
            <v>100</v>
          </cell>
          <cell r="F37">
            <v>5</v>
          </cell>
        </row>
      </sheetData>
      <sheetData sheetId="11">
        <row r="2">
          <cell r="B2" t="str">
            <v>PS Name</v>
          </cell>
          <cell r="C2" t="str">
            <v>Total Block Requests Received</v>
          </cell>
          <cell r="D2" t="str">
            <v>Blocked Requests (as on report generation date)</v>
          </cell>
          <cell r="E2" t="str">
            <v>Unblocked Requests (as on report generation date)</v>
          </cell>
          <cell r="F2" t="str">
            <v>Total Traceability Generated (as on report generation date)</v>
          </cell>
          <cell r="G2" t="str">
            <v>Unrecovered Traceability Available (as on report generation date)</v>
          </cell>
          <cell r="H2" t="str">
            <v>Recovered handsets</v>
          </cell>
          <cell r="I2" t="str">
            <v>Accuracy score 
(as per recovery %)
Accuracy score = (Total Recovered handsets by PS so far x 100)/Totaltraceability generated so far
(* so far means cumulative figure at the time of computing the score)</v>
          </cell>
          <cell r="J2" t="str">
            <v>Volume Score (as per no. of handsets recovered)
Volume score = ((Total Recovered handsets so far by PS – Minimum No. of handsets recovered by any PS so far in the District) x 100)/ (Maximum No.of handsets recovered by any PS so far in the DIstrict – Minimum No. ofhandsets recovered by any PS so far in the DIstrict)</v>
          </cell>
          <cell r="K2" t="str">
            <v>Final Score 70: 30
Final score = Accuracy score * 0.7 + Volume score*0.3</v>
          </cell>
          <cell r="L2" t="str">
            <v>Marks</v>
          </cell>
        </row>
        <row r="3">
          <cell r="B3" t="str">
            <v>ATKURU</v>
          </cell>
          <cell r="C3">
            <v>124</v>
          </cell>
          <cell r="D3">
            <v>68</v>
          </cell>
          <cell r="E3">
            <v>56</v>
          </cell>
          <cell r="F3">
            <v>80</v>
          </cell>
          <cell r="G3">
            <v>27</v>
          </cell>
          <cell r="H3">
            <v>56</v>
          </cell>
          <cell r="I3">
            <v>70</v>
          </cell>
          <cell r="J3">
            <v>81.666666666666671</v>
          </cell>
          <cell r="K3">
            <v>73.5</v>
          </cell>
          <cell r="L3">
            <v>3.6750000000000003</v>
          </cell>
        </row>
        <row r="4">
          <cell r="B4" t="str">
            <v>AVANIGADDA</v>
          </cell>
          <cell r="C4">
            <v>181</v>
          </cell>
          <cell r="D4">
            <v>104</v>
          </cell>
          <cell r="E4">
            <v>77</v>
          </cell>
          <cell r="F4">
            <v>115</v>
          </cell>
          <cell r="G4">
            <v>45</v>
          </cell>
          <cell r="H4">
            <v>77</v>
          </cell>
          <cell r="I4">
            <v>66.956521739130437</v>
          </cell>
          <cell r="J4">
            <v>78.115942028985515</v>
          </cell>
          <cell r="K4">
            <v>70.304347826086953</v>
          </cell>
          <cell r="L4">
            <v>3.5152173913043478</v>
          </cell>
        </row>
        <row r="5">
          <cell r="B5" t="str">
            <v>BANDAR TALUK PS</v>
          </cell>
          <cell r="C5">
            <v>82</v>
          </cell>
          <cell r="D5">
            <v>60</v>
          </cell>
          <cell r="E5">
            <v>22</v>
          </cell>
          <cell r="F5">
            <v>49</v>
          </cell>
          <cell r="G5">
            <v>28</v>
          </cell>
          <cell r="H5">
            <v>22</v>
          </cell>
          <cell r="I5">
            <v>44.897959183673471</v>
          </cell>
          <cell r="J5">
            <v>52.380952380952394</v>
          </cell>
          <cell r="K5">
            <v>47.142857142857146</v>
          </cell>
          <cell r="L5">
            <v>2.3571428571428572</v>
          </cell>
        </row>
        <row r="6">
          <cell r="B6" t="str">
            <v>BANTUMILLI</v>
          </cell>
          <cell r="C6">
            <v>107</v>
          </cell>
          <cell r="D6">
            <v>72</v>
          </cell>
          <cell r="E6">
            <v>35</v>
          </cell>
          <cell r="F6">
            <v>76</v>
          </cell>
          <cell r="G6">
            <v>41</v>
          </cell>
          <cell r="H6">
            <v>35</v>
          </cell>
          <cell r="I6">
            <v>46.05263157894737</v>
          </cell>
          <cell r="J6">
            <v>53.728070175438596</v>
          </cell>
          <cell r="K6">
            <v>48.35526315789474</v>
          </cell>
          <cell r="L6">
            <v>2.4177631578947372</v>
          </cell>
        </row>
        <row r="7">
          <cell r="B7" t="str">
            <v>CHALLAPALLI</v>
          </cell>
          <cell r="C7">
            <v>146</v>
          </cell>
          <cell r="D7">
            <v>114</v>
          </cell>
          <cell r="E7">
            <v>32</v>
          </cell>
          <cell r="F7">
            <v>93</v>
          </cell>
          <cell r="G7">
            <v>66</v>
          </cell>
          <cell r="H7">
            <v>32</v>
          </cell>
          <cell r="I7">
            <v>34.408602150537632</v>
          </cell>
          <cell r="J7">
            <v>40.143369175627242</v>
          </cell>
          <cell r="K7">
            <v>36.129032258064512</v>
          </cell>
          <cell r="L7">
            <v>1.8064516129032258</v>
          </cell>
        </row>
        <row r="8">
          <cell r="B8" t="str">
            <v>CHILAKALAPUDI UPS</v>
          </cell>
          <cell r="C8">
            <v>279</v>
          </cell>
          <cell r="D8">
            <v>203</v>
          </cell>
          <cell r="E8">
            <v>76</v>
          </cell>
          <cell r="F8">
            <v>160</v>
          </cell>
          <cell r="G8">
            <v>88</v>
          </cell>
          <cell r="H8">
            <v>76</v>
          </cell>
          <cell r="I8">
            <v>47.5</v>
          </cell>
          <cell r="J8">
            <v>55.416666666666671</v>
          </cell>
          <cell r="K8">
            <v>49.875</v>
          </cell>
          <cell r="L8">
            <v>2.4937500000000004</v>
          </cell>
        </row>
        <row r="9">
          <cell r="B9" t="str">
            <v>GANNAVARAM UPS</v>
          </cell>
          <cell r="C9">
            <v>156</v>
          </cell>
          <cell r="D9">
            <v>123</v>
          </cell>
          <cell r="E9">
            <v>33</v>
          </cell>
          <cell r="F9">
            <v>83</v>
          </cell>
          <cell r="G9">
            <v>52</v>
          </cell>
          <cell r="H9">
            <v>33</v>
          </cell>
          <cell r="I9">
            <v>39.75903614457831</v>
          </cell>
          <cell r="J9">
            <v>46.385542168674696</v>
          </cell>
          <cell r="K9">
            <v>41.746987951807228</v>
          </cell>
          <cell r="L9">
            <v>2.0873493975903616</v>
          </cell>
        </row>
        <row r="10">
          <cell r="B10" t="str">
            <v>GHANTASALA</v>
          </cell>
          <cell r="C10">
            <v>23</v>
          </cell>
          <cell r="D10">
            <v>23</v>
          </cell>
          <cell r="E10">
            <v>0</v>
          </cell>
          <cell r="F10">
            <v>16</v>
          </cell>
          <cell r="G10">
            <v>16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L10">
            <v>0</v>
          </cell>
        </row>
        <row r="11">
          <cell r="B11" t="str">
            <v>GUDIVADA I TOWN UPS</v>
          </cell>
          <cell r="C11">
            <v>244</v>
          </cell>
          <cell r="D11">
            <v>153</v>
          </cell>
          <cell r="E11">
            <v>91</v>
          </cell>
          <cell r="F11">
            <v>167</v>
          </cell>
          <cell r="G11">
            <v>83</v>
          </cell>
          <cell r="H11">
            <v>91</v>
          </cell>
          <cell r="I11">
            <v>54.491017964071858</v>
          </cell>
          <cell r="J11">
            <v>63.57285429141718</v>
          </cell>
          <cell r="K11">
            <v>57.215568862275447</v>
          </cell>
          <cell r="L11">
            <v>2.8607784431137726</v>
          </cell>
        </row>
        <row r="12">
          <cell r="B12" t="str">
            <v>GUDIVADA II TOWN UPS</v>
          </cell>
          <cell r="C12">
            <v>211</v>
          </cell>
          <cell r="D12">
            <v>99</v>
          </cell>
          <cell r="E12">
            <v>112</v>
          </cell>
          <cell r="F12">
            <v>131</v>
          </cell>
          <cell r="G12">
            <v>21</v>
          </cell>
          <cell r="H12">
            <v>112</v>
          </cell>
          <cell r="I12">
            <v>85.496183206106863</v>
          </cell>
          <cell r="J12">
            <v>99.745547073791357</v>
          </cell>
          <cell r="K12">
            <v>89.770992366412202</v>
          </cell>
          <cell r="L12">
            <v>4.4885496183206106</v>
          </cell>
        </row>
        <row r="13">
          <cell r="B13" t="str">
            <v>GUDIVADA RURAL</v>
          </cell>
          <cell r="C13">
            <v>138</v>
          </cell>
          <cell r="D13">
            <v>57</v>
          </cell>
          <cell r="E13">
            <v>81</v>
          </cell>
          <cell r="F13">
            <v>98</v>
          </cell>
          <cell r="G13">
            <v>18</v>
          </cell>
          <cell r="H13">
            <v>81</v>
          </cell>
          <cell r="I13">
            <v>82.65306122448979</v>
          </cell>
          <cell r="J13">
            <v>96.428571428571431</v>
          </cell>
          <cell r="K13">
            <v>86.785714285714278</v>
          </cell>
          <cell r="L13">
            <v>4.3392857142857144</v>
          </cell>
        </row>
        <row r="14">
          <cell r="B14" t="str">
            <v>GUDLAVALLERU</v>
          </cell>
          <cell r="C14">
            <v>116</v>
          </cell>
          <cell r="D14">
            <v>77</v>
          </cell>
          <cell r="E14">
            <v>39</v>
          </cell>
          <cell r="F14">
            <v>72</v>
          </cell>
          <cell r="G14">
            <v>35</v>
          </cell>
          <cell r="H14">
            <v>39</v>
          </cell>
          <cell r="I14">
            <v>54.166666666666664</v>
          </cell>
          <cell r="J14">
            <v>63.194444444444443</v>
          </cell>
          <cell r="K14">
            <v>56.875</v>
          </cell>
          <cell r="L14">
            <v>2.84375</v>
          </cell>
        </row>
        <row r="15">
          <cell r="B15" t="str">
            <v>GUDURU</v>
          </cell>
          <cell r="C15">
            <v>85</v>
          </cell>
          <cell r="D15">
            <v>53</v>
          </cell>
          <cell r="E15">
            <v>32</v>
          </cell>
          <cell r="F15">
            <v>56</v>
          </cell>
          <cell r="G15">
            <v>24</v>
          </cell>
          <cell r="H15">
            <v>32</v>
          </cell>
          <cell r="I15">
            <v>57.142857142857146</v>
          </cell>
          <cell r="J15">
            <v>66.666666666666671</v>
          </cell>
          <cell r="K15">
            <v>60</v>
          </cell>
          <cell r="L15">
            <v>3</v>
          </cell>
        </row>
        <row r="16">
          <cell r="B16" t="str">
            <v>HANUMAN JUNCTION</v>
          </cell>
          <cell r="C16">
            <v>131</v>
          </cell>
          <cell r="D16">
            <v>110</v>
          </cell>
          <cell r="E16">
            <v>21</v>
          </cell>
          <cell r="F16">
            <v>72</v>
          </cell>
          <cell r="G16">
            <v>53</v>
          </cell>
          <cell r="H16">
            <v>21</v>
          </cell>
          <cell r="I16">
            <v>29.166666666666668</v>
          </cell>
          <cell r="J16">
            <v>34.027777777777786</v>
          </cell>
          <cell r="K16">
            <v>30.625000000000004</v>
          </cell>
          <cell r="L16">
            <v>1.5312500000000002</v>
          </cell>
        </row>
        <row r="17">
          <cell r="B17" t="str">
            <v>INAGUDURU UPS</v>
          </cell>
          <cell r="C17">
            <v>93</v>
          </cell>
          <cell r="D17">
            <v>45</v>
          </cell>
          <cell r="E17">
            <v>48</v>
          </cell>
          <cell r="F17">
            <v>56</v>
          </cell>
          <cell r="G17">
            <v>14</v>
          </cell>
          <cell r="H17">
            <v>48</v>
          </cell>
          <cell r="I17">
            <v>85.714285714285708</v>
          </cell>
          <cell r="J17">
            <v>100</v>
          </cell>
          <cell r="K17">
            <v>90</v>
          </cell>
          <cell r="L17">
            <v>4.5</v>
          </cell>
        </row>
        <row r="18">
          <cell r="B18" t="str">
            <v>KANKIPADU</v>
          </cell>
          <cell r="C18">
            <v>265</v>
          </cell>
          <cell r="D18">
            <v>185</v>
          </cell>
          <cell r="E18">
            <v>80</v>
          </cell>
          <cell r="F18">
            <v>165</v>
          </cell>
          <cell r="G18">
            <v>92</v>
          </cell>
          <cell r="H18">
            <v>80</v>
          </cell>
          <cell r="I18">
            <v>48.484848484848484</v>
          </cell>
          <cell r="J18">
            <v>56.565656565656568</v>
          </cell>
          <cell r="K18">
            <v>50.909090909090907</v>
          </cell>
          <cell r="L18">
            <v>2.5454545454545454</v>
          </cell>
        </row>
        <row r="19">
          <cell r="B19" t="str">
            <v>KODURU</v>
          </cell>
          <cell r="C19">
            <v>48</v>
          </cell>
          <cell r="D19">
            <v>33</v>
          </cell>
          <cell r="E19">
            <v>15</v>
          </cell>
          <cell r="F19">
            <v>39</v>
          </cell>
          <cell r="G19">
            <v>24</v>
          </cell>
          <cell r="H19">
            <v>15</v>
          </cell>
          <cell r="I19">
            <v>38.46153846153846</v>
          </cell>
          <cell r="J19">
            <v>44.871794871794876</v>
          </cell>
          <cell r="K19">
            <v>40.38461538461538</v>
          </cell>
          <cell r="L19">
            <v>2.0192307692307692</v>
          </cell>
        </row>
        <row r="20">
          <cell r="B20" t="str">
            <v>KRUTHIVENNU</v>
          </cell>
          <cell r="C20">
            <v>68</v>
          </cell>
          <cell r="D20">
            <v>41</v>
          </cell>
          <cell r="E20">
            <v>27</v>
          </cell>
          <cell r="F20">
            <v>46</v>
          </cell>
          <cell r="G20">
            <v>20</v>
          </cell>
          <cell r="H20">
            <v>27</v>
          </cell>
          <cell r="I20">
            <v>58.695652173913047</v>
          </cell>
          <cell r="J20">
            <v>68.478260869565233</v>
          </cell>
          <cell r="K20">
            <v>61.630434782608702</v>
          </cell>
          <cell r="L20">
            <v>3.0815217391304355</v>
          </cell>
        </row>
        <row r="21">
          <cell r="B21" t="str">
            <v>KUCHIPUDI</v>
          </cell>
          <cell r="C21">
            <v>75</v>
          </cell>
          <cell r="D21">
            <v>52</v>
          </cell>
          <cell r="E21">
            <v>23</v>
          </cell>
          <cell r="F21">
            <v>45</v>
          </cell>
          <cell r="G21">
            <v>25</v>
          </cell>
          <cell r="H21">
            <v>23</v>
          </cell>
          <cell r="I21">
            <v>51.111111111111114</v>
          </cell>
          <cell r="J21">
            <v>59.629629629629633</v>
          </cell>
          <cell r="K21">
            <v>53.666666666666671</v>
          </cell>
          <cell r="L21">
            <v>2.6833333333333336</v>
          </cell>
        </row>
        <row r="22">
          <cell r="B22" t="str">
            <v>MACHILIPATNAM TOWN</v>
          </cell>
          <cell r="C22">
            <v>170</v>
          </cell>
          <cell r="D22">
            <v>97</v>
          </cell>
          <cell r="E22">
            <v>73</v>
          </cell>
          <cell r="F22">
            <v>125</v>
          </cell>
          <cell r="G22">
            <v>56</v>
          </cell>
          <cell r="H22">
            <v>73</v>
          </cell>
          <cell r="I22">
            <v>58.4</v>
          </cell>
          <cell r="J22">
            <v>68.13333333333334</v>
          </cell>
          <cell r="K22">
            <v>61.319999999999993</v>
          </cell>
          <cell r="L22">
            <v>3.0659999999999998</v>
          </cell>
        </row>
        <row r="23">
          <cell r="B23" t="str">
            <v>NAGAYALANKA</v>
          </cell>
          <cell r="C23">
            <v>63</v>
          </cell>
          <cell r="D23">
            <v>42</v>
          </cell>
          <cell r="E23">
            <v>21</v>
          </cell>
          <cell r="F23">
            <v>47</v>
          </cell>
          <cell r="G23">
            <v>28</v>
          </cell>
          <cell r="H23">
            <v>21</v>
          </cell>
          <cell r="I23">
            <v>44.680851063829785</v>
          </cell>
          <cell r="J23">
            <v>52.12765957446809</v>
          </cell>
          <cell r="K23">
            <v>46.914893617021278</v>
          </cell>
          <cell r="L23">
            <v>2.3457446808510638</v>
          </cell>
        </row>
        <row r="24">
          <cell r="B24" t="str">
            <v>NANDIVADA</v>
          </cell>
          <cell r="C24">
            <v>57</v>
          </cell>
          <cell r="D24">
            <v>32</v>
          </cell>
          <cell r="E24">
            <v>25</v>
          </cell>
          <cell r="F24">
            <v>42</v>
          </cell>
          <cell r="G24">
            <v>18</v>
          </cell>
          <cell r="H24">
            <v>25</v>
          </cell>
          <cell r="I24">
            <v>59.523809523809526</v>
          </cell>
          <cell r="J24">
            <v>69.444444444444443</v>
          </cell>
          <cell r="K24">
            <v>62.5</v>
          </cell>
          <cell r="L24">
            <v>3.125</v>
          </cell>
        </row>
        <row r="25">
          <cell r="B25" t="str">
            <v>PAMARRU</v>
          </cell>
          <cell r="C25">
            <v>194</v>
          </cell>
          <cell r="D25">
            <v>160</v>
          </cell>
          <cell r="E25">
            <v>34</v>
          </cell>
          <cell r="F25">
            <v>107</v>
          </cell>
          <cell r="G25">
            <v>77</v>
          </cell>
          <cell r="H25">
            <v>34</v>
          </cell>
          <cell r="I25">
            <v>31.77570093457944</v>
          </cell>
          <cell r="J25">
            <v>37.071651090342684</v>
          </cell>
          <cell r="K25">
            <v>33.364485981308412</v>
          </cell>
          <cell r="L25">
            <v>1.6682242990654208</v>
          </cell>
        </row>
        <row r="26">
          <cell r="B26" t="str">
            <v>PAMIDIMUKKALA</v>
          </cell>
          <cell r="C26">
            <v>40</v>
          </cell>
          <cell r="D26">
            <v>31</v>
          </cell>
          <cell r="E26">
            <v>9</v>
          </cell>
          <cell r="F26">
            <v>24</v>
          </cell>
          <cell r="G26">
            <v>17</v>
          </cell>
          <cell r="H26">
            <v>9</v>
          </cell>
          <cell r="I26">
            <v>37.5</v>
          </cell>
          <cell r="J26">
            <v>43.75</v>
          </cell>
          <cell r="K26">
            <v>39.375</v>
          </cell>
          <cell r="L26">
            <v>1.96875</v>
          </cell>
        </row>
        <row r="27">
          <cell r="B27" t="str">
            <v>PEDANA</v>
          </cell>
          <cell r="C27">
            <v>176</v>
          </cell>
          <cell r="D27">
            <v>115</v>
          </cell>
          <cell r="E27">
            <v>61</v>
          </cell>
          <cell r="F27">
            <v>121</v>
          </cell>
          <cell r="G27">
            <v>64</v>
          </cell>
          <cell r="H27">
            <v>61</v>
          </cell>
          <cell r="I27">
            <v>50.413223140495866</v>
          </cell>
          <cell r="J27">
            <v>58.815426997245183</v>
          </cell>
          <cell r="K27">
            <v>52.933884297520663</v>
          </cell>
          <cell r="L27">
            <v>2.6466942148760335</v>
          </cell>
        </row>
        <row r="28">
          <cell r="B28" t="str">
            <v>PEDAPARUPUDI</v>
          </cell>
          <cell r="C28">
            <v>44</v>
          </cell>
          <cell r="D28">
            <v>18</v>
          </cell>
          <cell r="E28">
            <v>26</v>
          </cell>
          <cell r="F28">
            <v>31</v>
          </cell>
          <cell r="G28">
            <v>5</v>
          </cell>
          <cell r="H28">
            <v>26</v>
          </cell>
          <cell r="I28">
            <v>83.870967741935488</v>
          </cell>
          <cell r="J28">
            <v>97.849462365591421</v>
          </cell>
          <cell r="K28">
            <v>88.064516129032256</v>
          </cell>
          <cell r="L28">
            <v>4.403225806451613</v>
          </cell>
        </row>
        <row r="29">
          <cell r="B29" t="str">
            <v>PENAMALURU UPS</v>
          </cell>
          <cell r="C29">
            <v>376</v>
          </cell>
          <cell r="D29">
            <v>283</v>
          </cell>
          <cell r="E29">
            <v>93</v>
          </cell>
          <cell r="F29">
            <v>223</v>
          </cell>
          <cell r="G29">
            <v>134</v>
          </cell>
          <cell r="H29">
            <v>93</v>
          </cell>
          <cell r="I29">
            <v>41.704035874439462</v>
          </cell>
          <cell r="J29">
            <v>48.654708520179376</v>
          </cell>
          <cell r="K29">
            <v>43.789237668161434</v>
          </cell>
          <cell r="L29">
            <v>2.1894618834080717</v>
          </cell>
        </row>
        <row r="30">
          <cell r="B30" t="str">
            <v>ROBERTSONPET</v>
          </cell>
          <cell r="C30">
            <v>163</v>
          </cell>
          <cell r="D30">
            <v>120</v>
          </cell>
          <cell r="E30">
            <v>43</v>
          </cell>
          <cell r="F30">
            <v>77</v>
          </cell>
          <cell r="G30">
            <v>40</v>
          </cell>
          <cell r="H30">
            <v>43</v>
          </cell>
          <cell r="I30">
            <v>55.844155844155843</v>
          </cell>
          <cell r="J30">
            <v>65.151515151515156</v>
          </cell>
          <cell r="K30">
            <v>58.636363636363633</v>
          </cell>
          <cell r="L30">
            <v>2.9318181818181817</v>
          </cell>
        </row>
        <row r="31">
          <cell r="B31" t="str">
            <v>THOTLAVALLURU</v>
          </cell>
          <cell r="C31">
            <v>68</v>
          </cell>
          <cell r="D31">
            <v>37</v>
          </cell>
          <cell r="E31">
            <v>31</v>
          </cell>
          <cell r="F31">
            <v>46</v>
          </cell>
          <cell r="G31">
            <v>15</v>
          </cell>
          <cell r="H31">
            <v>31</v>
          </cell>
          <cell r="I31">
            <v>67.391304347826093</v>
          </cell>
          <cell r="J31">
            <v>78.623188405797109</v>
          </cell>
          <cell r="K31">
            <v>70.760869565217405</v>
          </cell>
          <cell r="L31">
            <v>3.5380434782608705</v>
          </cell>
        </row>
        <row r="32">
          <cell r="B32" t="str">
            <v>UNGUTURU</v>
          </cell>
          <cell r="C32">
            <v>42</v>
          </cell>
          <cell r="D32">
            <v>30</v>
          </cell>
          <cell r="E32">
            <v>12</v>
          </cell>
          <cell r="F32">
            <v>31</v>
          </cell>
          <cell r="G32">
            <v>20</v>
          </cell>
          <cell r="H32">
            <v>12</v>
          </cell>
          <cell r="I32">
            <v>38.70967741935484</v>
          </cell>
          <cell r="J32">
            <v>45.161290322580648</v>
          </cell>
          <cell r="K32">
            <v>40.645161290322584</v>
          </cell>
          <cell r="L32">
            <v>2.0322580645161294</v>
          </cell>
        </row>
        <row r="33">
          <cell r="B33" t="str">
            <v>VEERAVALLI</v>
          </cell>
          <cell r="C33">
            <v>131</v>
          </cell>
          <cell r="D33">
            <v>74</v>
          </cell>
          <cell r="E33">
            <v>57</v>
          </cell>
          <cell r="F33">
            <v>87</v>
          </cell>
          <cell r="G33">
            <v>31</v>
          </cell>
          <cell r="H33">
            <v>57</v>
          </cell>
          <cell r="I33">
            <v>65.517241379310349</v>
          </cell>
          <cell r="J33">
            <v>76.436781609195407</v>
          </cell>
          <cell r="K33">
            <v>68.793103448275858</v>
          </cell>
          <cell r="L33">
            <v>3.4396551724137931</v>
          </cell>
        </row>
        <row r="34">
          <cell r="B34" t="str">
            <v>VUYYURU RURAL</v>
          </cell>
          <cell r="C34">
            <v>61</v>
          </cell>
          <cell r="D34">
            <v>47</v>
          </cell>
          <cell r="E34">
            <v>14</v>
          </cell>
          <cell r="F34">
            <v>43</v>
          </cell>
          <cell r="G34">
            <v>29</v>
          </cell>
          <cell r="H34">
            <v>14</v>
          </cell>
          <cell r="I34">
            <v>32.558139534883722</v>
          </cell>
          <cell r="J34">
            <v>37.984496124031011</v>
          </cell>
          <cell r="K34">
            <v>34.186046511627907</v>
          </cell>
          <cell r="L34">
            <v>1.7093023255813955</v>
          </cell>
        </row>
        <row r="35">
          <cell r="B35" t="str">
            <v>VUYYURU TOWN UPS</v>
          </cell>
          <cell r="C35">
            <v>135</v>
          </cell>
          <cell r="D35">
            <v>111</v>
          </cell>
          <cell r="E35">
            <v>24</v>
          </cell>
          <cell r="F35">
            <v>67</v>
          </cell>
          <cell r="G35">
            <v>45</v>
          </cell>
          <cell r="H35">
            <v>24</v>
          </cell>
          <cell r="I35">
            <v>35.820895522388057</v>
          </cell>
          <cell r="J35">
            <v>41.791044776119399</v>
          </cell>
          <cell r="K35">
            <v>37.611940298507463</v>
          </cell>
          <cell r="L35">
            <v>1.8805970149253732</v>
          </cell>
        </row>
        <row r="36">
          <cell r="C36">
            <v>4292</v>
          </cell>
          <cell r="D36">
            <v>2869</v>
          </cell>
          <cell r="E36">
            <v>1423</v>
          </cell>
          <cell r="F36">
            <v>2690</v>
          </cell>
          <cell r="G36">
            <v>1351</v>
          </cell>
          <cell r="H36">
            <v>1423</v>
          </cell>
          <cell r="I36">
            <v>51.480867937588833</v>
          </cell>
          <cell r="J36">
            <v>60.06101259385364</v>
          </cell>
          <cell r="K36">
            <v>54.054911334468287</v>
          </cell>
          <cell r="L36">
            <v>2.7027455667234142</v>
          </cell>
        </row>
      </sheetData>
      <sheetData sheetId="12">
        <row r="3">
          <cell r="B3" t="str">
            <v>POLICE STATION</v>
          </cell>
          <cell r="C3" t="str">
            <v>Total
 Cases Charged</v>
          </cell>
          <cell r="D3" t="str">
            <v>No. of cases
 eProc created</v>
          </cell>
          <cell r="E3" t="str">
            <v>Raw Value
if UI = 0 
( 100 points)</v>
          </cell>
          <cell r="F3" t="str">
            <v>Marks</v>
          </cell>
        </row>
        <row r="4">
          <cell r="B4" t="str">
            <v>ATKURU</v>
          </cell>
          <cell r="C4">
            <v>2</v>
          </cell>
          <cell r="D4">
            <v>1</v>
          </cell>
          <cell r="E4">
            <v>50</v>
          </cell>
          <cell r="F4">
            <v>2.5</v>
          </cell>
        </row>
        <row r="5">
          <cell r="B5" t="str">
            <v>AVANIGADDA</v>
          </cell>
          <cell r="C5">
            <v>0</v>
          </cell>
          <cell r="D5">
            <v>1</v>
          </cell>
          <cell r="E5">
            <v>100</v>
          </cell>
          <cell r="F5">
            <v>5</v>
          </cell>
        </row>
        <row r="6">
          <cell r="B6" t="str">
            <v>BANDAR TALUK PS</v>
          </cell>
          <cell r="C6">
            <v>0</v>
          </cell>
          <cell r="D6">
            <v>11</v>
          </cell>
          <cell r="E6">
            <v>100</v>
          </cell>
          <cell r="F6">
            <v>5</v>
          </cell>
        </row>
        <row r="7">
          <cell r="B7" t="str">
            <v>BANTUMILLI</v>
          </cell>
          <cell r="C7">
            <v>0</v>
          </cell>
          <cell r="D7">
            <v>0</v>
          </cell>
          <cell r="E7">
            <v>100</v>
          </cell>
          <cell r="F7">
            <v>5</v>
          </cell>
        </row>
        <row r="8">
          <cell r="B8" t="str">
            <v>CHALLAPALLI</v>
          </cell>
          <cell r="C8">
            <v>0</v>
          </cell>
          <cell r="D8">
            <v>0</v>
          </cell>
          <cell r="E8">
            <v>100</v>
          </cell>
          <cell r="F8">
            <v>5</v>
          </cell>
        </row>
        <row r="9">
          <cell r="B9" t="str">
            <v>CHILAKALAPUDI UPS</v>
          </cell>
          <cell r="C9">
            <v>0</v>
          </cell>
          <cell r="D9">
            <v>0</v>
          </cell>
          <cell r="E9">
            <v>100</v>
          </cell>
          <cell r="F9">
            <v>5</v>
          </cell>
        </row>
        <row r="10">
          <cell r="B10" t="str">
            <v>GANNAVARAM UPS</v>
          </cell>
          <cell r="C10">
            <v>0</v>
          </cell>
          <cell r="D10">
            <v>15</v>
          </cell>
          <cell r="E10">
            <v>100</v>
          </cell>
          <cell r="F10">
            <v>5</v>
          </cell>
        </row>
        <row r="11">
          <cell r="B11" t="str">
            <v>GHANTASALA</v>
          </cell>
          <cell r="C11">
            <v>0</v>
          </cell>
          <cell r="D11">
            <v>0</v>
          </cell>
          <cell r="E11">
            <v>100</v>
          </cell>
          <cell r="F11">
            <v>5</v>
          </cell>
        </row>
        <row r="12">
          <cell r="B12" t="str">
            <v>GUDIVADA I TOWN UPS</v>
          </cell>
          <cell r="C12">
            <v>0</v>
          </cell>
          <cell r="D12">
            <v>1</v>
          </cell>
          <cell r="E12">
            <v>100</v>
          </cell>
          <cell r="F12">
            <v>5</v>
          </cell>
        </row>
        <row r="13">
          <cell r="B13" t="str">
            <v>GUDIVADA II TOWN UPS</v>
          </cell>
          <cell r="C13">
            <v>0</v>
          </cell>
          <cell r="D13">
            <v>29</v>
          </cell>
          <cell r="E13">
            <v>100</v>
          </cell>
          <cell r="F13">
            <v>5</v>
          </cell>
        </row>
        <row r="14">
          <cell r="B14" t="str">
            <v>GUDIVADA RURAL</v>
          </cell>
          <cell r="C14">
            <v>0</v>
          </cell>
          <cell r="D14">
            <v>34</v>
          </cell>
          <cell r="E14">
            <v>100</v>
          </cell>
          <cell r="F14">
            <v>5</v>
          </cell>
        </row>
        <row r="15">
          <cell r="B15" t="str">
            <v>GUDLAVALLERU</v>
          </cell>
          <cell r="C15">
            <v>0</v>
          </cell>
          <cell r="D15">
            <v>2</v>
          </cell>
          <cell r="E15">
            <v>100</v>
          </cell>
          <cell r="F15">
            <v>5</v>
          </cell>
        </row>
        <row r="16">
          <cell r="B16" t="str">
            <v>GUDURU</v>
          </cell>
          <cell r="C16">
            <v>0</v>
          </cell>
          <cell r="D16">
            <v>1</v>
          </cell>
          <cell r="E16">
            <v>100</v>
          </cell>
          <cell r="F16">
            <v>5</v>
          </cell>
        </row>
        <row r="17">
          <cell r="B17" t="str">
            <v>HANUMAN JUNCTION</v>
          </cell>
          <cell r="C17">
            <v>0</v>
          </cell>
          <cell r="D17">
            <v>2</v>
          </cell>
          <cell r="E17">
            <v>100</v>
          </cell>
          <cell r="F17">
            <v>5</v>
          </cell>
        </row>
        <row r="18">
          <cell r="B18" t="str">
            <v>INAGUDURU UPS</v>
          </cell>
          <cell r="C18">
            <v>0</v>
          </cell>
          <cell r="D18">
            <v>0</v>
          </cell>
          <cell r="E18">
            <v>100</v>
          </cell>
          <cell r="F18">
            <v>5</v>
          </cell>
        </row>
        <row r="19">
          <cell r="B19" t="str">
            <v>KANKIPADU</v>
          </cell>
          <cell r="C19">
            <v>4</v>
          </cell>
          <cell r="D19">
            <v>0</v>
          </cell>
          <cell r="E19">
            <v>0</v>
          </cell>
          <cell r="F19">
            <v>0</v>
          </cell>
        </row>
        <row r="20">
          <cell r="B20" t="str">
            <v>KODURU</v>
          </cell>
          <cell r="C20">
            <v>0</v>
          </cell>
          <cell r="D20">
            <v>0</v>
          </cell>
          <cell r="E20">
            <v>100</v>
          </cell>
          <cell r="F20">
            <v>5</v>
          </cell>
        </row>
        <row r="21">
          <cell r="B21" t="str">
            <v>KRUTHIVENNU</v>
          </cell>
          <cell r="C21">
            <v>1</v>
          </cell>
          <cell r="D21">
            <v>6</v>
          </cell>
          <cell r="E21">
            <v>100</v>
          </cell>
          <cell r="F21">
            <v>5</v>
          </cell>
        </row>
        <row r="22">
          <cell r="B22" t="str">
            <v>KUCHIPUDI</v>
          </cell>
          <cell r="C22">
            <v>0</v>
          </cell>
          <cell r="D22">
            <v>1</v>
          </cell>
          <cell r="E22">
            <v>100</v>
          </cell>
          <cell r="F22">
            <v>5</v>
          </cell>
        </row>
        <row r="23">
          <cell r="B23" t="str">
            <v>MACHILIPATNAM TOWN</v>
          </cell>
          <cell r="C23">
            <v>1</v>
          </cell>
          <cell r="D23">
            <v>0</v>
          </cell>
          <cell r="E23">
            <v>0</v>
          </cell>
          <cell r="F23">
            <v>0</v>
          </cell>
        </row>
        <row r="24">
          <cell r="B24" t="str">
            <v>NAGAYALANKA</v>
          </cell>
          <cell r="C24">
            <v>0</v>
          </cell>
          <cell r="D24">
            <v>12</v>
          </cell>
          <cell r="E24">
            <v>100</v>
          </cell>
          <cell r="F24">
            <v>5</v>
          </cell>
        </row>
        <row r="25">
          <cell r="B25" t="str">
            <v>NANDIVADA</v>
          </cell>
          <cell r="C25">
            <v>1</v>
          </cell>
          <cell r="D25">
            <v>1</v>
          </cell>
          <cell r="E25">
            <v>100</v>
          </cell>
          <cell r="F25">
            <v>5</v>
          </cell>
        </row>
        <row r="26">
          <cell r="B26" t="str">
            <v>PAMARRU</v>
          </cell>
          <cell r="C26">
            <v>3</v>
          </cell>
          <cell r="D26">
            <v>4</v>
          </cell>
          <cell r="E26">
            <v>100</v>
          </cell>
          <cell r="F26">
            <v>5</v>
          </cell>
        </row>
        <row r="27">
          <cell r="B27" t="str">
            <v>PAMIDIMUKKALA</v>
          </cell>
          <cell r="C27">
            <v>0</v>
          </cell>
          <cell r="D27">
            <v>13</v>
          </cell>
          <cell r="E27">
            <v>100</v>
          </cell>
          <cell r="F27">
            <v>5</v>
          </cell>
        </row>
        <row r="28">
          <cell r="B28" t="str">
            <v>PEDANA</v>
          </cell>
          <cell r="C28">
            <v>0</v>
          </cell>
          <cell r="D28">
            <v>1</v>
          </cell>
          <cell r="E28">
            <v>100</v>
          </cell>
          <cell r="F28">
            <v>5</v>
          </cell>
        </row>
        <row r="29">
          <cell r="B29" t="str">
            <v>PEDAPARUPUDI</v>
          </cell>
          <cell r="C29">
            <v>0</v>
          </cell>
          <cell r="D29">
            <v>1</v>
          </cell>
          <cell r="E29">
            <v>100</v>
          </cell>
          <cell r="F29">
            <v>5</v>
          </cell>
        </row>
        <row r="30">
          <cell r="B30" t="str">
            <v>PENAMALURU UPS</v>
          </cell>
          <cell r="C30">
            <v>1</v>
          </cell>
          <cell r="D30">
            <v>1</v>
          </cell>
          <cell r="E30">
            <v>100</v>
          </cell>
          <cell r="F30">
            <v>5</v>
          </cell>
        </row>
        <row r="31">
          <cell r="B31" t="str">
            <v>ROBERTSONPET</v>
          </cell>
          <cell r="C31">
            <v>0</v>
          </cell>
          <cell r="D31">
            <v>0</v>
          </cell>
          <cell r="E31">
            <v>100</v>
          </cell>
          <cell r="F31">
            <v>5</v>
          </cell>
        </row>
        <row r="32">
          <cell r="B32" t="str">
            <v>THOTLAVALLURU</v>
          </cell>
          <cell r="C32">
            <v>0</v>
          </cell>
          <cell r="D32">
            <v>9</v>
          </cell>
          <cell r="E32">
            <v>100</v>
          </cell>
          <cell r="F32">
            <v>5</v>
          </cell>
        </row>
        <row r="33">
          <cell r="B33" t="str">
            <v>UNGUTURU</v>
          </cell>
          <cell r="C33">
            <v>0</v>
          </cell>
          <cell r="D33">
            <v>2</v>
          </cell>
          <cell r="E33">
            <v>100</v>
          </cell>
          <cell r="F33">
            <v>5</v>
          </cell>
        </row>
        <row r="34">
          <cell r="B34" t="str">
            <v>VEERAVALLI</v>
          </cell>
          <cell r="C34">
            <v>0</v>
          </cell>
          <cell r="D34">
            <v>2</v>
          </cell>
          <cell r="E34">
            <v>100</v>
          </cell>
          <cell r="F34">
            <v>5</v>
          </cell>
        </row>
        <row r="35">
          <cell r="B35" t="str">
            <v>VUYYURU RURAL</v>
          </cell>
          <cell r="C35">
            <v>1</v>
          </cell>
          <cell r="D35">
            <v>0</v>
          </cell>
          <cell r="E35">
            <v>0</v>
          </cell>
          <cell r="F35">
            <v>0</v>
          </cell>
        </row>
        <row r="36">
          <cell r="B36" t="str">
            <v>VUYYURU TOWN UPS</v>
          </cell>
          <cell r="C36">
            <v>2</v>
          </cell>
          <cell r="D36">
            <v>3</v>
          </cell>
          <cell r="E36">
            <v>100</v>
          </cell>
          <cell r="F36">
            <v>5</v>
          </cell>
        </row>
        <row r="37">
          <cell r="C37">
            <v>16</v>
          </cell>
          <cell r="D37">
            <v>153</v>
          </cell>
          <cell r="E37">
            <v>100</v>
          </cell>
          <cell r="F37">
            <v>5</v>
          </cell>
        </row>
      </sheetData>
      <sheetData sheetId="13">
        <row r="2">
          <cell r="B2" t="str">
            <v>POLICE STATION</v>
          </cell>
          <cell r="C2" t="str">
            <v>Total FIRs Registered</v>
          </cell>
          <cell r="D2" t="str">
            <v>FIRs Consumed in Court</v>
          </cell>
          <cell r="E2" t="str">
            <v>FIR Raw Value</v>
          </cell>
          <cell r="F2" t="str">
            <v>Marks
(2.5)</v>
          </cell>
          <cell r="G2" t="str">
            <v>Charge sheets Filed</v>
          </cell>
          <cell r="H2" t="str">
            <v>Chargesheets Consumed in Court</v>
          </cell>
          <cell r="I2" t="str">
            <v>Charge Sheet Raw Value</v>
          </cell>
          <cell r="J2" t="str">
            <v>Marks
(2.5)</v>
          </cell>
          <cell r="K2" t="str">
            <v>TOTAL MARKS
(5)</v>
          </cell>
          <cell r="L2" t="str">
            <v>Final Raw Value</v>
          </cell>
        </row>
        <row r="3">
          <cell r="B3" t="str">
            <v>Atkuru</v>
          </cell>
          <cell r="C3">
            <v>201</v>
          </cell>
          <cell r="D3">
            <v>188</v>
          </cell>
          <cell r="E3">
            <v>93.53233830845771</v>
          </cell>
          <cell r="F3">
            <v>2.338308457711443</v>
          </cell>
          <cell r="G3">
            <v>156</v>
          </cell>
          <cell r="H3">
            <v>142</v>
          </cell>
          <cell r="I3">
            <v>91.025641025641022</v>
          </cell>
          <cell r="J3">
            <v>2.2756410256410255</v>
          </cell>
          <cell r="K3">
            <v>4.613949483352469</v>
          </cell>
          <cell r="L3">
            <v>92.278989667049359</v>
          </cell>
        </row>
        <row r="4">
          <cell r="B4" t="str">
            <v>Avanigadda</v>
          </cell>
          <cell r="C4">
            <v>155</v>
          </cell>
          <cell r="D4">
            <v>126</v>
          </cell>
          <cell r="E4">
            <v>81.290322580645167</v>
          </cell>
          <cell r="F4">
            <v>2.0322580645161294</v>
          </cell>
          <cell r="G4">
            <v>109</v>
          </cell>
          <cell r="H4">
            <v>96</v>
          </cell>
          <cell r="I4">
            <v>88.073394495412842</v>
          </cell>
          <cell r="J4">
            <v>2.2018348623853212</v>
          </cell>
          <cell r="K4">
            <v>4.2340929269014502</v>
          </cell>
          <cell r="L4">
            <v>84.681858538029005</v>
          </cell>
        </row>
        <row r="5">
          <cell r="B5" t="str">
            <v>Bandar Taluk PS</v>
          </cell>
          <cell r="C5">
            <v>395</v>
          </cell>
          <cell r="D5">
            <v>383</v>
          </cell>
          <cell r="E5">
            <v>96.962025316455694</v>
          </cell>
          <cell r="F5">
            <v>2.4240506329113924</v>
          </cell>
          <cell r="G5">
            <v>301</v>
          </cell>
          <cell r="H5">
            <v>196</v>
          </cell>
          <cell r="I5">
            <v>65.116279069767444</v>
          </cell>
          <cell r="J5">
            <v>1.6279069767441863</v>
          </cell>
          <cell r="K5">
            <v>4.0519576096555792</v>
          </cell>
          <cell r="L5">
            <v>81.039152193111562</v>
          </cell>
        </row>
        <row r="6">
          <cell r="B6" t="str">
            <v>Bantumilli</v>
          </cell>
          <cell r="C6">
            <v>263</v>
          </cell>
          <cell r="D6">
            <v>249</v>
          </cell>
          <cell r="E6">
            <v>94.676806083650192</v>
          </cell>
          <cell r="F6">
            <v>2.3669201520912551</v>
          </cell>
          <cell r="G6">
            <v>211</v>
          </cell>
          <cell r="H6">
            <v>50</v>
          </cell>
          <cell r="I6">
            <v>23.696682464454977</v>
          </cell>
          <cell r="J6">
            <v>0.59241706161137442</v>
          </cell>
          <cell r="K6">
            <v>2.9593372137026295</v>
          </cell>
          <cell r="L6">
            <v>59.186744274052586</v>
          </cell>
        </row>
        <row r="7">
          <cell r="B7" t="str">
            <v>Challapalli</v>
          </cell>
          <cell r="C7">
            <v>442</v>
          </cell>
          <cell r="D7">
            <v>299</v>
          </cell>
          <cell r="E7">
            <v>67.647058823529406</v>
          </cell>
          <cell r="F7">
            <v>1.6911764705882353</v>
          </cell>
          <cell r="G7">
            <v>350</v>
          </cell>
          <cell r="H7">
            <v>190</v>
          </cell>
          <cell r="I7">
            <v>54.285714285714285</v>
          </cell>
          <cell r="J7">
            <v>1.3571428571428572</v>
          </cell>
          <cell r="K7">
            <v>3.0483193277310923</v>
          </cell>
          <cell r="L7">
            <v>60.966386554621849</v>
          </cell>
        </row>
        <row r="8">
          <cell r="B8" t="str">
            <v>Chilakalapudi UPS</v>
          </cell>
          <cell r="C8">
            <v>505</v>
          </cell>
          <cell r="D8">
            <v>468</v>
          </cell>
          <cell r="E8">
            <v>92.67326732673267</v>
          </cell>
          <cell r="F8">
            <v>2.3168316831683167</v>
          </cell>
          <cell r="G8">
            <v>308</v>
          </cell>
          <cell r="H8">
            <v>267</v>
          </cell>
          <cell r="I8">
            <v>86.688311688311686</v>
          </cell>
          <cell r="J8">
            <v>2.1672077922077921</v>
          </cell>
          <cell r="K8">
            <v>4.4840394753761093</v>
          </cell>
          <cell r="L8">
            <v>89.680789507522178</v>
          </cell>
        </row>
        <row r="9">
          <cell r="B9" t="str">
            <v>Gannavaram UPS</v>
          </cell>
          <cell r="C9">
            <v>446</v>
          </cell>
          <cell r="D9">
            <v>430</v>
          </cell>
          <cell r="E9">
            <v>96.412556053811656</v>
          </cell>
          <cell r="F9">
            <v>2.4103139013452917</v>
          </cell>
          <cell r="G9">
            <v>264</v>
          </cell>
          <cell r="H9">
            <v>245</v>
          </cell>
          <cell r="I9">
            <v>92.803030303030297</v>
          </cell>
          <cell r="J9">
            <v>2.3200757575757573</v>
          </cell>
          <cell r="K9">
            <v>4.730389658921049</v>
          </cell>
          <cell r="L9">
            <v>94.607793178420977</v>
          </cell>
        </row>
        <row r="10">
          <cell r="B10" t="str">
            <v>Ghantasala</v>
          </cell>
          <cell r="C10">
            <v>183</v>
          </cell>
          <cell r="D10">
            <v>99</v>
          </cell>
          <cell r="E10">
            <v>54.098360655737707</v>
          </cell>
          <cell r="F10">
            <v>1.3524590163934427</v>
          </cell>
          <cell r="G10">
            <v>128</v>
          </cell>
          <cell r="H10">
            <v>77</v>
          </cell>
          <cell r="I10">
            <v>60.15625</v>
          </cell>
          <cell r="J10">
            <v>1.50390625</v>
          </cell>
          <cell r="K10">
            <v>2.8563652663934427</v>
          </cell>
          <cell r="L10">
            <v>57.127305327868854</v>
          </cell>
        </row>
        <row r="11">
          <cell r="B11" t="str">
            <v>Gudivada I Town UPS</v>
          </cell>
          <cell r="C11">
            <v>408</v>
          </cell>
          <cell r="D11">
            <v>372</v>
          </cell>
          <cell r="E11">
            <v>91.17647058823529</v>
          </cell>
          <cell r="F11">
            <v>2.2794117647058822</v>
          </cell>
          <cell r="G11">
            <v>322</v>
          </cell>
          <cell r="H11">
            <v>293</v>
          </cell>
          <cell r="I11">
            <v>90.993788819875775</v>
          </cell>
          <cell r="J11">
            <v>2.2748447204968945</v>
          </cell>
          <cell r="K11">
            <v>4.5542564852027763</v>
          </cell>
          <cell r="L11">
            <v>91.085129704055532</v>
          </cell>
        </row>
        <row r="12">
          <cell r="B12" t="str">
            <v>Gudivada II Town UPS</v>
          </cell>
          <cell r="C12">
            <v>293</v>
          </cell>
          <cell r="D12">
            <v>278</v>
          </cell>
          <cell r="E12">
            <v>94.88054607508532</v>
          </cell>
          <cell r="F12">
            <v>2.3720136518771331</v>
          </cell>
          <cell r="G12">
            <v>252</v>
          </cell>
          <cell r="H12">
            <v>167</v>
          </cell>
          <cell r="I12">
            <v>66.269841269841265</v>
          </cell>
          <cell r="J12">
            <v>1.6567460317460316</v>
          </cell>
          <cell r="K12">
            <v>4.0287596836231643</v>
          </cell>
          <cell r="L12">
            <v>80.575193672463286</v>
          </cell>
        </row>
        <row r="13">
          <cell r="B13" t="str">
            <v>Gudivada Rural</v>
          </cell>
          <cell r="C13">
            <v>264</v>
          </cell>
          <cell r="D13">
            <v>246</v>
          </cell>
          <cell r="E13">
            <v>93.181818181818187</v>
          </cell>
          <cell r="F13">
            <v>2.3295454545454546</v>
          </cell>
          <cell r="G13">
            <v>217</v>
          </cell>
          <cell r="H13">
            <v>190</v>
          </cell>
          <cell r="I13">
            <v>87.557603686635943</v>
          </cell>
          <cell r="J13">
            <v>2.1889400921658986</v>
          </cell>
          <cell r="K13">
            <v>4.5184855467113536</v>
          </cell>
          <cell r="L13">
            <v>90.369710934227072</v>
          </cell>
        </row>
        <row r="14">
          <cell r="B14" t="str">
            <v>Gudlavalleru</v>
          </cell>
          <cell r="C14">
            <v>195</v>
          </cell>
          <cell r="D14">
            <v>182</v>
          </cell>
          <cell r="E14">
            <v>93.333333333333329</v>
          </cell>
          <cell r="F14">
            <v>2.3333333333333335</v>
          </cell>
          <cell r="G14">
            <v>156</v>
          </cell>
          <cell r="H14">
            <v>138</v>
          </cell>
          <cell r="I14">
            <v>88.461538461538467</v>
          </cell>
          <cell r="J14">
            <v>2.2115384615384617</v>
          </cell>
          <cell r="K14">
            <v>4.5448717948717956</v>
          </cell>
          <cell r="L14">
            <v>90.897435897435898</v>
          </cell>
        </row>
        <row r="15">
          <cell r="B15" t="str">
            <v>Guduru</v>
          </cell>
          <cell r="C15">
            <v>217</v>
          </cell>
          <cell r="D15">
            <v>211</v>
          </cell>
          <cell r="E15">
            <v>97.235023041474648</v>
          </cell>
          <cell r="F15">
            <v>2.4308755760368665</v>
          </cell>
          <cell r="G15">
            <v>140</v>
          </cell>
          <cell r="H15">
            <v>102</v>
          </cell>
          <cell r="I15">
            <v>72.857142857142861</v>
          </cell>
          <cell r="J15">
            <v>1.8214285714285716</v>
          </cell>
          <cell r="K15">
            <v>4.2523041474654377</v>
          </cell>
          <cell r="L15">
            <v>85.046082949308754</v>
          </cell>
        </row>
        <row r="16">
          <cell r="B16" t="str">
            <v>Hanuman Junction</v>
          </cell>
          <cell r="C16">
            <v>374</v>
          </cell>
          <cell r="D16">
            <v>301</v>
          </cell>
          <cell r="E16">
            <v>80.481283422459896</v>
          </cell>
          <cell r="F16">
            <v>2.0120320855614975</v>
          </cell>
          <cell r="G16">
            <v>244</v>
          </cell>
          <cell r="H16">
            <v>234</v>
          </cell>
          <cell r="I16">
            <v>95.901639344262293</v>
          </cell>
          <cell r="J16">
            <v>2.3975409836065573</v>
          </cell>
          <cell r="K16">
            <v>4.4095730691680544</v>
          </cell>
          <cell r="L16">
            <v>88.191461383361087</v>
          </cell>
        </row>
        <row r="17">
          <cell r="B17" t="str">
            <v>Inaguduru UPS</v>
          </cell>
          <cell r="C17">
            <v>304</v>
          </cell>
          <cell r="D17">
            <v>292</v>
          </cell>
          <cell r="E17">
            <v>96.05263157894737</v>
          </cell>
          <cell r="F17">
            <v>2.4013157894736845</v>
          </cell>
          <cell r="G17">
            <v>193</v>
          </cell>
          <cell r="H17">
            <v>161</v>
          </cell>
          <cell r="I17">
            <v>83.419689119170982</v>
          </cell>
          <cell r="J17">
            <v>2.0854922279792745</v>
          </cell>
          <cell r="K17">
            <v>4.486808017452959</v>
          </cell>
          <cell r="L17">
            <v>89.736160349059176</v>
          </cell>
        </row>
        <row r="18">
          <cell r="B18" t="str">
            <v>Kankipadu</v>
          </cell>
          <cell r="C18">
            <v>409</v>
          </cell>
          <cell r="D18">
            <v>394</v>
          </cell>
          <cell r="E18">
            <v>96.332518337408317</v>
          </cell>
          <cell r="F18">
            <v>2.4083129584352081</v>
          </cell>
          <cell r="G18">
            <v>292</v>
          </cell>
          <cell r="H18">
            <v>230</v>
          </cell>
          <cell r="I18">
            <v>78.767123287671239</v>
          </cell>
          <cell r="J18">
            <v>1.969178082191781</v>
          </cell>
          <cell r="K18">
            <v>4.3774910406269889</v>
          </cell>
          <cell r="L18">
            <v>87.549820812539778</v>
          </cell>
        </row>
        <row r="19">
          <cell r="B19" t="str">
            <v>Koduru</v>
          </cell>
          <cell r="C19">
            <v>190</v>
          </cell>
          <cell r="D19">
            <v>168</v>
          </cell>
          <cell r="E19">
            <v>88.421052631578945</v>
          </cell>
          <cell r="F19">
            <v>2.2105263157894739</v>
          </cell>
          <cell r="G19">
            <v>158</v>
          </cell>
          <cell r="H19">
            <v>135</v>
          </cell>
          <cell r="I19">
            <v>85.443037974683548</v>
          </cell>
          <cell r="J19">
            <v>2.1360759493670889</v>
          </cell>
          <cell r="K19">
            <v>4.3466022651565623</v>
          </cell>
          <cell r="L19">
            <v>86.932045303131247</v>
          </cell>
        </row>
        <row r="20">
          <cell r="B20" t="str">
            <v>Kruthivennu</v>
          </cell>
          <cell r="C20">
            <v>193</v>
          </cell>
          <cell r="D20">
            <v>171</v>
          </cell>
          <cell r="E20">
            <v>88.601036269430054</v>
          </cell>
          <cell r="F20">
            <v>2.2150259067357516</v>
          </cell>
          <cell r="G20">
            <v>143</v>
          </cell>
          <cell r="H20">
            <v>15</v>
          </cell>
          <cell r="I20">
            <v>10.48951048951049</v>
          </cell>
          <cell r="J20">
            <v>0.26223776223776224</v>
          </cell>
          <cell r="K20">
            <v>2.4772636689735137</v>
          </cell>
          <cell r="L20">
            <v>49.545273379470274</v>
          </cell>
        </row>
        <row r="21">
          <cell r="B21" t="str">
            <v>Kuchipudi</v>
          </cell>
          <cell r="C21">
            <v>178</v>
          </cell>
          <cell r="D21">
            <v>128</v>
          </cell>
          <cell r="E21">
            <v>71.910112359550567</v>
          </cell>
          <cell r="F21">
            <v>1.7977528089887642</v>
          </cell>
          <cell r="G21">
            <v>140</v>
          </cell>
          <cell r="H21">
            <v>66</v>
          </cell>
          <cell r="I21">
            <v>47.142857142857146</v>
          </cell>
          <cell r="J21">
            <v>1.1785714285714286</v>
          </cell>
          <cell r="K21">
            <v>2.9763242375601928</v>
          </cell>
          <cell r="L21">
            <v>59.526484751203853</v>
          </cell>
        </row>
        <row r="22">
          <cell r="B22" t="str">
            <v>Machilipatnam Town</v>
          </cell>
          <cell r="C22">
            <v>277</v>
          </cell>
          <cell r="D22">
            <v>274</v>
          </cell>
          <cell r="E22">
            <v>98.91696750902527</v>
          </cell>
          <cell r="F22">
            <v>2.4729241877256318</v>
          </cell>
          <cell r="G22">
            <v>197</v>
          </cell>
          <cell r="H22">
            <v>158</v>
          </cell>
          <cell r="I22">
            <v>80.203045685279193</v>
          </cell>
          <cell r="J22">
            <v>2.0050761421319798</v>
          </cell>
          <cell r="K22">
            <v>4.4780003298576112</v>
          </cell>
          <cell r="L22">
            <v>89.560006597152238</v>
          </cell>
        </row>
        <row r="23">
          <cell r="B23" t="str">
            <v>Mahila UPS, Machilipatnam</v>
          </cell>
          <cell r="C23">
            <v>119</v>
          </cell>
          <cell r="D23">
            <v>118</v>
          </cell>
          <cell r="E23">
            <v>99.159663865546221</v>
          </cell>
          <cell r="F23">
            <v>2.4789915966386555</v>
          </cell>
          <cell r="G23">
            <v>114</v>
          </cell>
          <cell r="H23">
            <v>88</v>
          </cell>
          <cell r="I23">
            <v>77.192982456140356</v>
          </cell>
          <cell r="J23">
            <v>1.929824561403509</v>
          </cell>
          <cell r="K23">
            <v>4.4088161580421641</v>
          </cell>
          <cell r="L23">
            <v>88.176323160843282</v>
          </cell>
        </row>
        <row r="24">
          <cell r="B24" t="str">
            <v>Nagayalanka</v>
          </cell>
          <cell r="C24">
            <v>128</v>
          </cell>
          <cell r="D24">
            <v>107</v>
          </cell>
          <cell r="E24">
            <v>83.59375</v>
          </cell>
          <cell r="F24">
            <v>2.08984375</v>
          </cell>
          <cell r="G24">
            <v>94</v>
          </cell>
          <cell r="H24">
            <v>65</v>
          </cell>
          <cell r="I24">
            <v>69.148936170212764</v>
          </cell>
          <cell r="J24">
            <v>1.7287234042553192</v>
          </cell>
          <cell r="K24">
            <v>3.8185671542553195</v>
          </cell>
          <cell r="L24">
            <v>76.371343085106389</v>
          </cell>
        </row>
        <row r="25">
          <cell r="B25" t="str">
            <v>Nandivada</v>
          </cell>
          <cell r="C25">
            <v>169</v>
          </cell>
          <cell r="D25">
            <v>147</v>
          </cell>
          <cell r="E25">
            <v>86.982248520710058</v>
          </cell>
          <cell r="F25">
            <v>2.1745562130177514</v>
          </cell>
          <cell r="G25">
            <v>127</v>
          </cell>
          <cell r="H25">
            <v>109</v>
          </cell>
          <cell r="I25">
            <v>85.826771653543304</v>
          </cell>
          <cell r="J25">
            <v>2.1456692913385829</v>
          </cell>
          <cell r="K25">
            <v>4.3202255043563342</v>
          </cell>
          <cell r="L25">
            <v>86.404510087126681</v>
          </cell>
        </row>
        <row r="26">
          <cell r="B26" t="str">
            <v>Pamarru</v>
          </cell>
          <cell r="C26">
            <v>304</v>
          </cell>
          <cell r="D26">
            <v>297</v>
          </cell>
          <cell r="E26">
            <v>97.69736842105263</v>
          </cell>
          <cell r="F26">
            <v>2.4424342105263159</v>
          </cell>
          <cell r="G26">
            <v>236</v>
          </cell>
          <cell r="H26">
            <v>137</v>
          </cell>
          <cell r="I26">
            <v>58.050847457627121</v>
          </cell>
          <cell r="J26">
            <v>1.4512711864406782</v>
          </cell>
          <cell r="K26">
            <v>3.8937053969669941</v>
          </cell>
          <cell r="L26">
            <v>77.874107939339879</v>
          </cell>
        </row>
        <row r="27">
          <cell r="B27" t="str">
            <v>Pamidimukkala</v>
          </cell>
          <cell r="C27">
            <v>170</v>
          </cell>
          <cell r="D27">
            <v>166</v>
          </cell>
          <cell r="E27">
            <v>97.647058823529406</v>
          </cell>
          <cell r="F27">
            <v>2.4411764705882355</v>
          </cell>
          <cell r="G27">
            <v>125</v>
          </cell>
          <cell r="H27">
            <v>115</v>
          </cell>
          <cell r="I27">
            <v>92</v>
          </cell>
          <cell r="J27">
            <v>2.3000000000000003</v>
          </cell>
          <cell r="K27">
            <v>4.7411764705882362</v>
          </cell>
          <cell r="L27">
            <v>94.823529411764696</v>
          </cell>
        </row>
        <row r="28">
          <cell r="B28" t="str">
            <v>Pedana</v>
          </cell>
          <cell r="C28">
            <v>291</v>
          </cell>
          <cell r="D28">
            <v>289</v>
          </cell>
          <cell r="E28">
            <v>99.312714776632305</v>
          </cell>
          <cell r="F28">
            <v>2.4828178694158076</v>
          </cell>
          <cell r="G28">
            <v>157</v>
          </cell>
          <cell r="H28">
            <v>118</v>
          </cell>
          <cell r="I28">
            <v>75.159235668789805</v>
          </cell>
          <cell r="J28">
            <v>1.8789808917197452</v>
          </cell>
          <cell r="K28">
            <v>4.3617987611355531</v>
          </cell>
          <cell r="L28">
            <v>87.235975222711062</v>
          </cell>
        </row>
        <row r="29">
          <cell r="B29" t="str">
            <v>Pedaparupudi</v>
          </cell>
          <cell r="C29">
            <v>150</v>
          </cell>
          <cell r="D29">
            <v>146</v>
          </cell>
          <cell r="E29">
            <v>97.333333333333329</v>
          </cell>
          <cell r="F29">
            <v>2.4333333333333336</v>
          </cell>
          <cell r="G29">
            <v>126</v>
          </cell>
          <cell r="H29">
            <v>116</v>
          </cell>
          <cell r="I29">
            <v>92.063492063492063</v>
          </cell>
          <cell r="J29">
            <v>2.3015873015873018</v>
          </cell>
          <cell r="K29">
            <v>4.7349206349206359</v>
          </cell>
          <cell r="L29">
            <v>94.698412698412696</v>
          </cell>
        </row>
        <row r="30">
          <cell r="B30" t="str">
            <v>Penamaluru UPS</v>
          </cell>
          <cell r="C30">
            <v>1029</v>
          </cell>
          <cell r="D30">
            <v>982</v>
          </cell>
          <cell r="E30">
            <v>95.432458697764815</v>
          </cell>
          <cell r="F30">
            <v>2.3858114674441206</v>
          </cell>
          <cell r="G30">
            <v>623</v>
          </cell>
          <cell r="H30">
            <v>372</v>
          </cell>
          <cell r="I30">
            <v>59.711075441412518</v>
          </cell>
          <cell r="J30">
            <v>1.492776886035313</v>
          </cell>
          <cell r="K30">
            <v>3.8785883534794339</v>
          </cell>
          <cell r="L30">
            <v>77.571767069588674</v>
          </cell>
        </row>
        <row r="31">
          <cell r="B31" t="str">
            <v>Robertsonpet</v>
          </cell>
          <cell r="C31">
            <v>273</v>
          </cell>
          <cell r="D31">
            <v>252</v>
          </cell>
          <cell r="E31">
            <v>92.307692307692307</v>
          </cell>
          <cell r="F31">
            <v>2.3076923076923079</v>
          </cell>
          <cell r="G31">
            <v>213</v>
          </cell>
          <cell r="H31">
            <v>179</v>
          </cell>
          <cell r="I31">
            <v>84.037558685446015</v>
          </cell>
          <cell r="J31">
            <v>2.1009389671361505</v>
          </cell>
          <cell r="K31">
            <v>4.4086312748284584</v>
          </cell>
          <cell r="L31">
            <v>88.172625496569168</v>
          </cell>
        </row>
        <row r="32">
          <cell r="B32" t="str">
            <v>Thotlavalluru</v>
          </cell>
          <cell r="C32">
            <v>185</v>
          </cell>
          <cell r="D32">
            <v>182</v>
          </cell>
          <cell r="E32">
            <v>98.378378378378372</v>
          </cell>
          <cell r="F32">
            <v>2.4594594594594597</v>
          </cell>
          <cell r="G32">
            <v>144</v>
          </cell>
          <cell r="H32">
            <v>134</v>
          </cell>
          <cell r="I32">
            <v>93.055555555555557</v>
          </cell>
          <cell r="J32">
            <v>2.3263888888888888</v>
          </cell>
          <cell r="K32">
            <v>4.7858483483483489</v>
          </cell>
          <cell r="L32">
            <v>95.716966966966964</v>
          </cell>
        </row>
        <row r="33">
          <cell r="B33" t="str">
            <v>Unguturu</v>
          </cell>
          <cell r="C33">
            <v>97</v>
          </cell>
          <cell r="D33">
            <v>95</v>
          </cell>
          <cell r="E33">
            <v>97.9381443298969</v>
          </cell>
          <cell r="F33">
            <v>2.4484536082474229</v>
          </cell>
          <cell r="G33">
            <v>62</v>
          </cell>
          <cell r="H33">
            <v>60</v>
          </cell>
          <cell r="I33">
            <v>96.774193548387103</v>
          </cell>
          <cell r="J33">
            <v>2.4193548387096779</v>
          </cell>
          <cell r="K33">
            <v>4.8678084469571008</v>
          </cell>
          <cell r="L33">
            <v>97.356168939142009</v>
          </cell>
        </row>
        <row r="34">
          <cell r="B34" t="str">
            <v>Veeravalli</v>
          </cell>
          <cell r="C34">
            <v>232</v>
          </cell>
          <cell r="D34">
            <v>206</v>
          </cell>
          <cell r="E34">
            <v>88.793103448275858</v>
          </cell>
          <cell r="F34">
            <v>2.2198275862068964</v>
          </cell>
          <cell r="G34">
            <v>171</v>
          </cell>
          <cell r="H34">
            <v>151</v>
          </cell>
          <cell r="I34">
            <v>88.304093567251456</v>
          </cell>
          <cell r="J34">
            <v>2.2076023391812867</v>
          </cell>
          <cell r="K34">
            <v>4.427429925388183</v>
          </cell>
          <cell r="L34">
            <v>88.548598507763657</v>
          </cell>
        </row>
        <row r="35">
          <cell r="B35" t="str">
            <v>Vuyyuru Rural</v>
          </cell>
          <cell r="C35">
            <v>138</v>
          </cell>
          <cell r="D35">
            <v>131</v>
          </cell>
          <cell r="E35">
            <v>94.927536231884062</v>
          </cell>
          <cell r="F35">
            <v>2.3731884057971016</v>
          </cell>
          <cell r="G35">
            <v>107</v>
          </cell>
          <cell r="H35">
            <v>107</v>
          </cell>
          <cell r="I35">
            <v>100</v>
          </cell>
          <cell r="J35">
            <v>2.5</v>
          </cell>
          <cell r="K35">
            <v>4.8731884057971016</v>
          </cell>
          <cell r="L35">
            <v>97.463768115942031</v>
          </cell>
        </row>
        <row r="36">
          <cell r="B36" t="str">
            <v>Vuyyuru Town UPS</v>
          </cell>
          <cell r="C36">
            <v>333</v>
          </cell>
          <cell r="D36">
            <v>322</v>
          </cell>
          <cell r="E36">
            <v>96.696696696696691</v>
          </cell>
          <cell r="F36">
            <v>2.4174174174174174</v>
          </cell>
          <cell r="G36">
            <v>216</v>
          </cell>
          <cell r="H36">
            <v>206</v>
          </cell>
          <cell r="I36">
            <v>95.370370370370367</v>
          </cell>
          <cell r="J36">
            <v>2.3842592592592591</v>
          </cell>
          <cell r="K36">
            <v>4.8016766766766761</v>
          </cell>
          <cell r="L36">
            <v>96.033533533533529</v>
          </cell>
        </row>
        <row r="37">
          <cell r="C37">
            <v>9510</v>
          </cell>
          <cell r="D37">
            <v>8699</v>
          </cell>
          <cell r="E37">
            <v>91.472134595162984</v>
          </cell>
          <cell r="F37">
            <v>1.0515247108307046</v>
          </cell>
          <cell r="G37">
            <v>6796</v>
          </cell>
          <cell r="H37">
            <v>5109</v>
          </cell>
          <cell r="I37">
            <v>75.17657445556209</v>
          </cell>
          <cell r="J37">
            <v>1.9235641427272279</v>
          </cell>
          <cell r="K37">
            <v>2.9750888535579323</v>
          </cell>
          <cell r="L37">
            <v>83.324354525362537</v>
          </cell>
        </row>
      </sheetData>
      <sheetData sheetId="14">
        <row r="2">
          <cell r="C2" t="str">
            <v>FROM 16-09-2026 TO 22-09-2026 - (5 % Marks)</v>
          </cell>
        </row>
        <row r="3">
          <cell r="B3" t="str">
            <v>PS NAME</v>
          </cell>
          <cell r="C3" t="str">
            <v>Total Disposed Files</v>
          </cell>
          <cell r="D3" t="str">
            <v xml:space="preserve">
Total Disposed files Raw Value</v>
          </cell>
          <cell r="E3" t="str">
            <v xml:space="preserve">Total Disposed Files Marks
(2.5) </v>
          </cell>
          <cell r="F3" t="str">
            <v>Average Response time (Days HH:MM:SS)</v>
          </cell>
          <cell r="G3" t="str">
            <v>Hours Convertion
to 
(HH:MM:SS)</v>
          </cell>
          <cell r="H3" t="str">
            <v xml:space="preserve">
Average Response time
Raw Value</v>
          </cell>
          <cell r="I3" t="str">
            <v>Average Response time Marks</v>
          </cell>
          <cell r="J3" t="str">
            <v>Total 
E Office 
Raw Value</v>
          </cell>
          <cell r="K3" t="str">
            <v>Total Marks</v>
          </cell>
        </row>
        <row r="4">
          <cell r="B4" t="str">
            <v>Atkuru</v>
          </cell>
          <cell r="C4">
            <v>5</v>
          </cell>
          <cell r="D4">
            <v>23.81</v>
          </cell>
          <cell r="E4">
            <v>0.59524999999999995</v>
          </cell>
          <cell r="F4" t="str">
            <v>0 days 00:01:55</v>
          </cell>
          <cell r="G4" t="str">
            <v>0:01:55</v>
          </cell>
          <cell r="H4">
            <v>100</v>
          </cell>
          <cell r="I4">
            <v>2.5</v>
          </cell>
          <cell r="J4">
            <v>61.905000000000001</v>
          </cell>
          <cell r="K4">
            <v>3.0952500000000001</v>
          </cell>
        </row>
        <row r="5">
          <cell r="B5" t="str">
            <v>Avanigadda</v>
          </cell>
          <cell r="C5">
            <v>0</v>
          </cell>
          <cell r="D5">
            <v>0</v>
          </cell>
          <cell r="E5">
            <v>0</v>
          </cell>
          <cell r="F5" t="str">
            <v>-</v>
          </cell>
          <cell r="G5">
            <v>0</v>
          </cell>
          <cell r="H5">
            <v>0</v>
          </cell>
          <cell r="I5">
            <v>0</v>
          </cell>
          <cell r="J5">
            <v>0</v>
          </cell>
          <cell r="K5">
            <v>0</v>
          </cell>
        </row>
        <row r="6">
          <cell r="B6" t="str">
            <v>Bandar Taluk PS</v>
          </cell>
          <cell r="C6">
            <v>0</v>
          </cell>
          <cell r="D6">
            <v>0</v>
          </cell>
          <cell r="E6">
            <v>0</v>
          </cell>
          <cell r="F6" t="str">
            <v>-</v>
          </cell>
          <cell r="G6">
            <v>0</v>
          </cell>
          <cell r="H6">
            <v>0</v>
          </cell>
          <cell r="I6">
            <v>0</v>
          </cell>
          <cell r="J6">
            <v>0</v>
          </cell>
          <cell r="K6">
            <v>0</v>
          </cell>
        </row>
        <row r="7">
          <cell r="B7" t="str">
            <v>Bantumilli</v>
          </cell>
          <cell r="C7">
            <v>2</v>
          </cell>
          <cell r="D7">
            <v>9.52</v>
          </cell>
          <cell r="E7">
            <v>0.23799999999999999</v>
          </cell>
          <cell r="F7" t="str">
            <v>0 days 00:01:28</v>
          </cell>
          <cell r="G7" t="str">
            <v>0:01:28</v>
          </cell>
          <cell r="H7">
            <v>100</v>
          </cell>
          <cell r="I7">
            <v>2.5</v>
          </cell>
          <cell r="J7">
            <v>54.76</v>
          </cell>
          <cell r="K7">
            <v>2.738</v>
          </cell>
        </row>
        <row r="8">
          <cell r="B8" t="str">
            <v>Challapalli</v>
          </cell>
          <cell r="C8">
            <v>3</v>
          </cell>
          <cell r="D8">
            <v>14.29</v>
          </cell>
          <cell r="E8">
            <v>0.35725000000000001</v>
          </cell>
          <cell r="F8" t="str">
            <v>0 days 00:02:19</v>
          </cell>
          <cell r="G8" t="str">
            <v>0:02:19</v>
          </cell>
          <cell r="H8">
            <v>100</v>
          </cell>
          <cell r="I8">
            <v>2.5</v>
          </cell>
          <cell r="J8">
            <v>57.144999999999996</v>
          </cell>
          <cell r="K8">
            <v>2.8572500000000001</v>
          </cell>
        </row>
        <row r="9">
          <cell r="B9" t="str">
            <v>Chilakalapudi UPS</v>
          </cell>
          <cell r="C9">
            <v>0</v>
          </cell>
          <cell r="D9">
            <v>0</v>
          </cell>
          <cell r="E9">
            <v>0</v>
          </cell>
          <cell r="F9" t="str">
            <v>-</v>
          </cell>
          <cell r="G9">
            <v>0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</row>
        <row r="10">
          <cell r="B10" t="str">
            <v>Gannavaram UPS</v>
          </cell>
          <cell r="C10">
            <v>8</v>
          </cell>
          <cell r="D10">
            <v>22.86</v>
          </cell>
          <cell r="E10">
            <v>0.57150000000000001</v>
          </cell>
          <cell r="F10" t="str">
            <v>0 days 00:03:45</v>
          </cell>
          <cell r="G10" t="str">
            <v>0:03:45</v>
          </cell>
          <cell r="H10">
            <v>100</v>
          </cell>
          <cell r="I10">
            <v>2.5</v>
          </cell>
          <cell r="J10">
            <v>61.43</v>
          </cell>
          <cell r="K10">
            <v>3.0715000000000003</v>
          </cell>
        </row>
        <row r="11">
          <cell r="B11" t="str">
            <v>Ghantasala</v>
          </cell>
          <cell r="C11">
            <v>0</v>
          </cell>
          <cell r="D11">
            <v>0</v>
          </cell>
          <cell r="E11">
            <v>0</v>
          </cell>
          <cell r="F11" t="str">
            <v>-</v>
          </cell>
          <cell r="G11">
            <v>0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</row>
        <row r="12">
          <cell r="B12" t="str">
            <v>Gudivada I Town UPS</v>
          </cell>
          <cell r="C12">
            <v>1</v>
          </cell>
          <cell r="D12">
            <v>2.86</v>
          </cell>
          <cell r="E12">
            <v>7.1499999999999994E-2</v>
          </cell>
          <cell r="F12" t="str">
            <v>0 days 00:12:16</v>
          </cell>
          <cell r="G12" t="str">
            <v>0:12:16</v>
          </cell>
          <cell r="H12">
            <v>100</v>
          </cell>
          <cell r="I12">
            <v>2.5</v>
          </cell>
          <cell r="J12">
            <v>51.43</v>
          </cell>
          <cell r="K12">
            <v>2.5715000000000003</v>
          </cell>
        </row>
        <row r="13">
          <cell r="B13" t="str">
            <v>Gudivada II Town UPS</v>
          </cell>
          <cell r="C13">
            <v>1</v>
          </cell>
          <cell r="D13">
            <v>2.86</v>
          </cell>
          <cell r="E13">
            <v>7.1499999999999994E-2</v>
          </cell>
          <cell r="F13" t="str">
            <v>0 days 00:04:01</v>
          </cell>
          <cell r="G13" t="str">
            <v>0:04:01</v>
          </cell>
          <cell r="H13">
            <v>100</v>
          </cell>
          <cell r="I13">
            <v>2.5</v>
          </cell>
          <cell r="J13">
            <v>51.43</v>
          </cell>
          <cell r="K13">
            <v>2.5715000000000003</v>
          </cell>
        </row>
        <row r="14">
          <cell r="B14" t="str">
            <v>Gudivada Rural</v>
          </cell>
          <cell r="C14">
            <v>4</v>
          </cell>
          <cell r="D14">
            <v>19.05</v>
          </cell>
          <cell r="E14">
            <v>0.47625000000000006</v>
          </cell>
          <cell r="F14" t="str">
            <v>2 days 20:59:18</v>
          </cell>
          <cell r="G14" t="str">
            <v>68:59:18</v>
          </cell>
          <cell r="H14">
            <v>25</v>
          </cell>
          <cell r="I14">
            <v>0.625</v>
          </cell>
          <cell r="J14">
            <v>22.024999999999999</v>
          </cell>
          <cell r="K14">
            <v>1.1012500000000001</v>
          </cell>
        </row>
        <row r="15">
          <cell r="B15" t="str">
            <v>Gudlavalleru</v>
          </cell>
          <cell r="C15">
            <v>0</v>
          </cell>
          <cell r="D15">
            <v>0</v>
          </cell>
          <cell r="E15">
            <v>0</v>
          </cell>
          <cell r="F15" t="str">
            <v>-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</row>
        <row r="16">
          <cell r="B16" t="str">
            <v>Guduru</v>
          </cell>
          <cell r="C16">
            <v>0</v>
          </cell>
          <cell r="D16">
            <v>0</v>
          </cell>
          <cell r="E16">
            <v>0</v>
          </cell>
          <cell r="F16" t="str">
            <v>-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</row>
        <row r="17">
          <cell r="B17" t="str">
            <v>Hanuman Junction</v>
          </cell>
          <cell r="C17">
            <v>2</v>
          </cell>
          <cell r="D17">
            <v>9.52</v>
          </cell>
          <cell r="E17">
            <v>0.23799999999999999</v>
          </cell>
          <cell r="F17" t="str">
            <v>0 days 00:03:11</v>
          </cell>
          <cell r="G17" t="str">
            <v>0:03:11</v>
          </cell>
          <cell r="H17">
            <v>100</v>
          </cell>
          <cell r="I17">
            <v>2.5</v>
          </cell>
          <cell r="J17">
            <v>54.76</v>
          </cell>
          <cell r="K17">
            <v>2.738</v>
          </cell>
        </row>
        <row r="18">
          <cell r="B18" t="str">
            <v>Inaguduru UPS</v>
          </cell>
          <cell r="C18">
            <v>2</v>
          </cell>
          <cell r="D18">
            <v>5.71</v>
          </cell>
          <cell r="E18">
            <v>0.14275000000000002</v>
          </cell>
          <cell r="F18" t="str">
            <v>0 days 00:02:24</v>
          </cell>
          <cell r="G18" t="str">
            <v>0:02:24</v>
          </cell>
          <cell r="H18">
            <v>100</v>
          </cell>
          <cell r="I18">
            <v>2.5</v>
          </cell>
          <cell r="J18">
            <v>52.854999999999997</v>
          </cell>
          <cell r="K18">
            <v>2.6427499999999999</v>
          </cell>
        </row>
        <row r="19">
          <cell r="B19" t="str">
            <v>Kankipadu</v>
          </cell>
          <cell r="C19">
            <v>0</v>
          </cell>
          <cell r="D19">
            <v>0</v>
          </cell>
          <cell r="E19">
            <v>0</v>
          </cell>
          <cell r="F19" t="str">
            <v>-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</row>
        <row r="20">
          <cell r="B20" t="str">
            <v>Koduru</v>
          </cell>
          <cell r="C20">
            <v>0</v>
          </cell>
          <cell r="D20">
            <v>0</v>
          </cell>
          <cell r="E20">
            <v>0</v>
          </cell>
          <cell r="F20" t="str">
            <v>-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</row>
        <row r="21">
          <cell r="B21" t="str">
            <v>Kruthivennu</v>
          </cell>
          <cell r="C21">
            <v>0</v>
          </cell>
          <cell r="D21">
            <v>0</v>
          </cell>
          <cell r="E21">
            <v>0</v>
          </cell>
          <cell r="F21" t="str">
            <v>-</v>
          </cell>
          <cell r="G21">
            <v>0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</row>
        <row r="22">
          <cell r="B22" t="str">
            <v>Kuchipudi</v>
          </cell>
          <cell r="C22">
            <v>0</v>
          </cell>
          <cell r="D22">
            <v>0</v>
          </cell>
          <cell r="E22">
            <v>0</v>
          </cell>
          <cell r="F22" t="str">
            <v>-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</row>
        <row r="23">
          <cell r="B23" t="str">
            <v>Machilipatnam Town</v>
          </cell>
          <cell r="C23">
            <v>0</v>
          </cell>
          <cell r="D23">
            <v>0</v>
          </cell>
          <cell r="E23">
            <v>0</v>
          </cell>
          <cell r="F23" t="str">
            <v>-</v>
          </cell>
          <cell r="G23">
            <v>0</v>
          </cell>
          <cell r="H23">
            <v>0</v>
          </cell>
          <cell r="I23">
            <v>0</v>
          </cell>
          <cell r="J23">
            <v>0</v>
          </cell>
          <cell r="K23">
            <v>0</v>
          </cell>
        </row>
        <row r="24">
          <cell r="B24" t="str">
            <v>Mahila UPS, Machilipatnam</v>
          </cell>
          <cell r="C24">
            <v>1</v>
          </cell>
          <cell r="D24">
            <v>4.76</v>
          </cell>
          <cell r="E24">
            <v>0.11899999999999999</v>
          </cell>
          <cell r="F24" t="str">
            <v>0 days 00:06:23</v>
          </cell>
          <cell r="G24" t="str">
            <v>0:06:23</v>
          </cell>
          <cell r="H24">
            <v>100</v>
          </cell>
          <cell r="I24">
            <v>2.5</v>
          </cell>
          <cell r="J24">
            <v>52.38</v>
          </cell>
          <cell r="K24">
            <v>2.6190000000000002</v>
          </cell>
        </row>
        <row r="25">
          <cell r="B25" t="str">
            <v>Nagayalanka</v>
          </cell>
          <cell r="C25">
            <v>2</v>
          </cell>
          <cell r="D25">
            <v>9.52</v>
          </cell>
          <cell r="E25">
            <v>0.23799999999999999</v>
          </cell>
          <cell r="F25" t="str">
            <v>0 days 00:11:51</v>
          </cell>
          <cell r="G25" t="str">
            <v>0:11:51</v>
          </cell>
          <cell r="H25">
            <v>100</v>
          </cell>
          <cell r="I25">
            <v>2.5</v>
          </cell>
          <cell r="J25">
            <v>54.76</v>
          </cell>
          <cell r="K25">
            <v>2.738</v>
          </cell>
        </row>
        <row r="26">
          <cell r="B26" t="str">
            <v>Nandivada</v>
          </cell>
          <cell r="C26">
            <v>11</v>
          </cell>
          <cell r="D26">
            <v>52.38</v>
          </cell>
          <cell r="E26">
            <v>1.3095000000000001</v>
          </cell>
          <cell r="F26" t="str">
            <v>20 days 19:41:59</v>
          </cell>
          <cell r="G26" t="str">
            <v>499:41:59</v>
          </cell>
          <cell r="H26">
            <v>0</v>
          </cell>
          <cell r="I26">
            <v>0</v>
          </cell>
          <cell r="J26">
            <v>26.19</v>
          </cell>
          <cell r="K26">
            <v>1.3095000000000001</v>
          </cell>
        </row>
        <row r="27">
          <cell r="B27" t="str">
            <v>Pamarru</v>
          </cell>
          <cell r="C27">
            <v>0</v>
          </cell>
          <cell r="D27">
            <v>0</v>
          </cell>
          <cell r="E27">
            <v>0</v>
          </cell>
          <cell r="F27" t="str">
            <v>-</v>
          </cell>
          <cell r="G27">
            <v>0</v>
          </cell>
          <cell r="H27">
            <v>0</v>
          </cell>
          <cell r="I27">
            <v>0</v>
          </cell>
          <cell r="J27">
            <v>0</v>
          </cell>
          <cell r="K27">
            <v>0</v>
          </cell>
        </row>
        <row r="28">
          <cell r="B28" t="str">
            <v>Pamidimukkala</v>
          </cell>
          <cell r="C28">
            <v>3</v>
          </cell>
          <cell r="D28">
            <v>14.29</v>
          </cell>
          <cell r="E28">
            <v>0.35725000000000001</v>
          </cell>
          <cell r="F28" t="str">
            <v>23 days 04:21:12</v>
          </cell>
          <cell r="G28" t="str">
            <v>556:21:12</v>
          </cell>
          <cell r="H28">
            <v>0</v>
          </cell>
          <cell r="I28">
            <v>0</v>
          </cell>
          <cell r="J28">
            <v>7.1449999999999996</v>
          </cell>
          <cell r="K28">
            <v>0.35725000000000001</v>
          </cell>
        </row>
        <row r="29">
          <cell r="B29" t="str">
            <v>Pedana</v>
          </cell>
          <cell r="C29">
            <v>0</v>
          </cell>
          <cell r="D29">
            <v>0</v>
          </cell>
          <cell r="E29">
            <v>0</v>
          </cell>
          <cell r="F29" t="str">
            <v>-</v>
          </cell>
          <cell r="G29">
            <v>0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</row>
        <row r="30">
          <cell r="B30" t="str">
            <v>Pedaparupudi</v>
          </cell>
          <cell r="C30">
            <v>4</v>
          </cell>
          <cell r="D30">
            <v>19.05</v>
          </cell>
          <cell r="E30">
            <v>0.47625000000000006</v>
          </cell>
          <cell r="F30" t="str">
            <v>0 days 00:09:29</v>
          </cell>
          <cell r="G30" t="str">
            <v>0:09:29</v>
          </cell>
          <cell r="H30">
            <v>100</v>
          </cell>
          <cell r="I30">
            <v>2.5</v>
          </cell>
          <cell r="J30">
            <v>59.524999999999999</v>
          </cell>
          <cell r="K30">
            <v>2.9762500000000003</v>
          </cell>
        </row>
        <row r="31">
          <cell r="B31" t="str">
            <v>Penamaluru UPS</v>
          </cell>
          <cell r="C31">
            <v>0</v>
          </cell>
          <cell r="D31">
            <v>0</v>
          </cell>
          <cell r="E31">
            <v>0</v>
          </cell>
          <cell r="F31" t="str">
            <v>-</v>
          </cell>
          <cell r="G31">
            <v>0</v>
          </cell>
          <cell r="H31">
            <v>0</v>
          </cell>
          <cell r="I31">
            <v>0</v>
          </cell>
          <cell r="J31">
            <v>0</v>
          </cell>
          <cell r="K31">
            <v>0</v>
          </cell>
        </row>
        <row r="32">
          <cell r="B32" t="str">
            <v>Robertsonpet</v>
          </cell>
          <cell r="C32">
            <v>1</v>
          </cell>
          <cell r="D32">
            <v>2.86</v>
          </cell>
          <cell r="E32">
            <v>7.1499999999999994E-2</v>
          </cell>
          <cell r="F32" t="str">
            <v>11 days 00:10:35</v>
          </cell>
          <cell r="G32" t="str">
            <v>264:10:35</v>
          </cell>
          <cell r="H32">
            <v>0</v>
          </cell>
          <cell r="I32">
            <v>0</v>
          </cell>
          <cell r="J32">
            <v>1.43</v>
          </cell>
          <cell r="K32">
            <v>7.1499999999999994E-2</v>
          </cell>
        </row>
        <row r="33">
          <cell r="B33" t="str">
            <v>Thotlavalluru</v>
          </cell>
          <cell r="C33">
            <v>0</v>
          </cell>
          <cell r="D33">
            <v>0</v>
          </cell>
          <cell r="E33">
            <v>0</v>
          </cell>
          <cell r="F33" t="str">
            <v>-</v>
          </cell>
          <cell r="G33">
            <v>0</v>
          </cell>
          <cell r="H33">
            <v>0</v>
          </cell>
          <cell r="I33">
            <v>0</v>
          </cell>
          <cell r="J33">
            <v>0</v>
          </cell>
          <cell r="K33">
            <v>0</v>
          </cell>
        </row>
        <row r="34">
          <cell r="B34" t="str">
            <v>Unguturu</v>
          </cell>
          <cell r="C34">
            <v>2</v>
          </cell>
          <cell r="D34">
            <v>9.52</v>
          </cell>
          <cell r="E34">
            <v>0.23799999999999999</v>
          </cell>
          <cell r="F34" t="str">
            <v>0 days 00:01:42</v>
          </cell>
          <cell r="G34" t="str">
            <v>0:01:42</v>
          </cell>
          <cell r="H34">
            <v>100</v>
          </cell>
          <cell r="I34">
            <v>2.5</v>
          </cell>
          <cell r="J34">
            <v>54.76</v>
          </cell>
          <cell r="K34">
            <v>2.738</v>
          </cell>
        </row>
        <row r="35">
          <cell r="B35" t="str">
            <v>Veeravalli</v>
          </cell>
          <cell r="C35">
            <v>0</v>
          </cell>
          <cell r="D35">
            <v>0</v>
          </cell>
          <cell r="E35">
            <v>0</v>
          </cell>
          <cell r="F35" t="str">
            <v>-</v>
          </cell>
          <cell r="G35">
            <v>0</v>
          </cell>
          <cell r="H35">
            <v>0</v>
          </cell>
          <cell r="I35">
            <v>0</v>
          </cell>
          <cell r="J35">
            <v>0</v>
          </cell>
          <cell r="K35">
            <v>0</v>
          </cell>
        </row>
        <row r="36">
          <cell r="B36" t="str">
            <v>Vuyyuru Rural</v>
          </cell>
          <cell r="C36">
            <v>1</v>
          </cell>
          <cell r="D36">
            <v>4.76</v>
          </cell>
          <cell r="E36">
            <v>0.11899999999999999</v>
          </cell>
          <cell r="F36" t="str">
            <v>0 days 00:01:42</v>
          </cell>
          <cell r="G36" t="str">
            <v>0:01:42</v>
          </cell>
          <cell r="H36">
            <v>100</v>
          </cell>
          <cell r="I36">
            <v>2.5</v>
          </cell>
          <cell r="J36">
            <v>52.38</v>
          </cell>
          <cell r="K36">
            <v>2.6190000000000002</v>
          </cell>
        </row>
        <row r="37">
          <cell r="B37" t="str">
            <v>Vuyyuru Town UPS</v>
          </cell>
          <cell r="C37">
            <v>6</v>
          </cell>
          <cell r="D37">
            <v>17.14</v>
          </cell>
          <cell r="E37">
            <v>0.42850000000000005</v>
          </cell>
          <cell r="F37" t="str">
            <v>0 days 00:03:10</v>
          </cell>
          <cell r="G37" t="str">
            <v>0:03:10</v>
          </cell>
          <cell r="H37">
            <v>100</v>
          </cell>
          <cell r="I37">
            <v>2.5</v>
          </cell>
          <cell r="J37">
            <v>58.57</v>
          </cell>
          <cell r="K37">
            <v>2.9285000000000001</v>
          </cell>
        </row>
      </sheetData>
      <sheetData sheetId="15">
        <row r="2">
          <cell r="B2" t="str">
            <v>Unit</v>
          </cell>
          <cell r="C2" t="str">
            <v>Total Employees</v>
          </cell>
          <cell r="D2" t="str">
            <v>No.of Mobile App Downloads</v>
          </cell>
          <cell r="E2" t="str">
            <v>APP Download
Raw Value</v>
          </cell>
          <cell r="F2" t="str">
            <v>Marks
for App (2.5)</v>
          </cell>
          <cell r="G2" t="str">
            <v>Total APRs Submitted</v>
          </cell>
          <cell r="H2" t="str">
            <v>APR Raw Value</v>
          </cell>
          <cell r="I2" t="str">
            <v>Marks for APR 
(2.5)</v>
          </cell>
          <cell r="J2" t="str">
            <v>Total Marks
(5)</v>
          </cell>
          <cell r="K2" t="str">
            <v>Final Raw Value</v>
          </cell>
        </row>
        <row r="3">
          <cell r="B3" t="str">
            <v>Nagayalanka</v>
          </cell>
          <cell r="C3">
            <v>15</v>
          </cell>
          <cell r="D3">
            <v>14</v>
          </cell>
          <cell r="E3">
            <v>93.333333333333329</v>
          </cell>
          <cell r="F3">
            <v>2.3333333333333335</v>
          </cell>
          <cell r="G3">
            <v>3</v>
          </cell>
          <cell r="H3">
            <v>20</v>
          </cell>
          <cell r="I3">
            <v>0.5</v>
          </cell>
          <cell r="J3">
            <v>2.8333333333333335</v>
          </cell>
          <cell r="K3">
            <v>56.666666666666664</v>
          </cell>
        </row>
        <row r="4">
          <cell r="B4" t="str">
            <v>Avanigadda</v>
          </cell>
          <cell r="C4">
            <v>27</v>
          </cell>
          <cell r="D4">
            <v>22</v>
          </cell>
          <cell r="E4">
            <v>81.481481481481481</v>
          </cell>
          <cell r="F4">
            <v>2.0370370370370372</v>
          </cell>
          <cell r="G4">
            <v>4</v>
          </cell>
          <cell r="H4">
            <v>14.814814814814815</v>
          </cell>
          <cell r="I4">
            <v>0.37037037037037041</v>
          </cell>
          <cell r="J4">
            <v>2.4074074074074074</v>
          </cell>
          <cell r="K4">
            <v>48.148148148148145</v>
          </cell>
        </row>
        <row r="5">
          <cell r="B5" t="str">
            <v>Koduru</v>
          </cell>
          <cell r="C5">
            <v>17</v>
          </cell>
          <cell r="D5">
            <v>16</v>
          </cell>
          <cell r="E5">
            <v>94.117647058823536</v>
          </cell>
          <cell r="F5">
            <v>2.3529411764705883</v>
          </cell>
          <cell r="G5">
            <v>8</v>
          </cell>
          <cell r="H5">
            <v>47.058823529411768</v>
          </cell>
          <cell r="I5">
            <v>1.1764705882352942</v>
          </cell>
          <cell r="J5">
            <v>3.5294117647058822</v>
          </cell>
          <cell r="K5">
            <v>70.588235294117652</v>
          </cell>
        </row>
        <row r="6">
          <cell r="B6" t="str">
            <v>Challapalli</v>
          </cell>
          <cell r="C6">
            <v>20</v>
          </cell>
          <cell r="D6">
            <v>18</v>
          </cell>
          <cell r="E6">
            <v>90</v>
          </cell>
          <cell r="F6">
            <v>2.25</v>
          </cell>
          <cell r="G6">
            <v>5</v>
          </cell>
          <cell r="H6">
            <v>25</v>
          </cell>
          <cell r="I6">
            <v>0.625</v>
          </cell>
          <cell r="J6">
            <v>2.875</v>
          </cell>
          <cell r="K6">
            <v>57.5</v>
          </cell>
        </row>
        <row r="7">
          <cell r="B7" t="str">
            <v>Ghantasala</v>
          </cell>
          <cell r="C7">
            <v>21</v>
          </cell>
          <cell r="D7">
            <v>18</v>
          </cell>
          <cell r="E7">
            <v>85.714285714285708</v>
          </cell>
          <cell r="F7">
            <v>2.1428571428571428</v>
          </cell>
          <cell r="G7">
            <v>3</v>
          </cell>
          <cell r="H7">
            <v>14.285714285714286</v>
          </cell>
          <cell r="I7">
            <v>0.35714285714285721</v>
          </cell>
          <cell r="J7">
            <v>2.5</v>
          </cell>
          <cell r="K7">
            <v>50</v>
          </cell>
        </row>
        <row r="8">
          <cell r="B8" t="str">
            <v>Gudivada I Town UPS</v>
          </cell>
          <cell r="C8">
            <v>39</v>
          </cell>
          <cell r="D8">
            <v>34</v>
          </cell>
          <cell r="E8">
            <v>87.179487179487182</v>
          </cell>
          <cell r="F8">
            <v>2.1794871794871797</v>
          </cell>
          <cell r="G8">
            <v>18</v>
          </cell>
          <cell r="H8">
            <v>46.153846153846153</v>
          </cell>
          <cell r="I8">
            <v>1.153846153846154</v>
          </cell>
          <cell r="J8">
            <v>3.3333333333333339</v>
          </cell>
          <cell r="K8">
            <v>66.666666666666671</v>
          </cell>
        </row>
        <row r="9">
          <cell r="B9" t="str">
            <v>Gudivada II Town UPS</v>
          </cell>
          <cell r="C9">
            <v>45</v>
          </cell>
          <cell r="D9">
            <v>39</v>
          </cell>
          <cell r="E9">
            <v>86.666666666666671</v>
          </cell>
          <cell r="F9">
            <v>2.166666666666667</v>
          </cell>
          <cell r="G9">
            <v>39</v>
          </cell>
          <cell r="H9">
            <v>86.666666666666671</v>
          </cell>
          <cell r="I9">
            <v>2.166666666666667</v>
          </cell>
          <cell r="J9">
            <v>4.3333333333333339</v>
          </cell>
          <cell r="K9">
            <v>86.666666666666671</v>
          </cell>
        </row>
        <row r="10">
          <cell r="B10" t="str">
            <v>Nandivada</v>
          </cell>
          <cell r="C10">
            <v>18</v>
          </cell>
          <cell r="D10">
            <v>17</v>
          </cell>
          <cell r="E10">
            <v>94.444444444444443</v>
          </cell>
          <cell r="F10">
            <v>2.3611111111111112</v>
          </cell>
          <cell r="G10">
            <v>16</v>
          </cell>
          <cell r="H10">
            <v>88.888888888888886</v>
          </cell>
          <cell r="I10">
            <v>2.2222222222222223</v>
          </cell>
          <cell r="J10">
            <v>4.5833333333333339</v>
          </cell>
          <cell r="K10">
            <v>91.666666666666657</v>
          </cell>
        </row>
        <row r="11">
          <cell r="B11" t="str">
            <v>Gudivada Rural</v>
          </cell>
          <cell r="C11">
            <v>25</v>
          </cell>
          <cell r="D11">
            <v>22</v>
          </cell>
          <cell r="E11">
            <v>88</v>
          </cell>
          <cell r="F11">
            <v>2.2000000000000002</v>
          </cell>
          <cell r="G11">
            <v>21</v>
          </cell>
          <cell r="H11">
            <v>84</v>
          </cell>
          <cell r="I11">
            <v>2.1</v>
          </cell>
          <cell r="J11">
            <v>4.3000000000000007</v>
          </cell>
          <cell r="K11">
            <v>86</v>
          </cell>
        </row>
        <row r="12">
          <cell r="B12" t="str">
            <v>Gudlavalleru</v>
          </cell>
          <cell r="C12">
            <v>23</v>
          </cell>
          <cell r="D12">
            <v>21</v>
          </cell>
          <cell r="E12">
            <v>91.304347826086953</v>
          </cell>
          <cell r="F12">
            <v>2.2826086956521738</v>
          </cell>
          <cell r="G12">
            <v>19</v>
          </cell>
          <cell r="H12">
            <v>82.608695652173907</v>
          </cell>
          <cell r="I12">
            <v>2.0652173913043477</v>
          </cell>
          <cell r="J12">
            <v>4.3478260869565215</v>
          </cell>
          <cell r="K12">
            <v>86.956521739130437</v>
          </cell>
        </row>
        <row r="13">
          <cell r="B13" t="str">
            <v>Pedaparupudi</v>
          </cell>
          <cell r="C13">
            <v>20</v>
          </cell>
          <cell r="D13">
            <v>19</v>
          </cell>
          <cell r="E13">
            <v>95</v>
          </cell>
          <cell r="F13">
            <v>2.375</v>
          </cell>
          <cell r="G13">
            <v>18</v>
          </cell>
          <cell r="H13">
            <v>90</v>
          </cell>
          <cell r="I13">
            <v>2.25</v>
          </cell>
          <cell r="J13">
            <v>4.625</v>
          </cell>
          <cell r="K13">
            <v>92.5</v>
          </cell>
        </row>
        <row r="14">
          <cell r="B14" t="str">
            <v>Pamarru</v>
          </cell>
          <cell r="C14">
            <v>19</v>
          </cell>
          <cell r="D14">
            <v>17</v>
          </cell>
          <cell r="E14">
            <v>89.473684210526315</v>
          </cell>
          <cell r="F14">
            <v>2.236842105263158</v>
          </cell>
          <cell r="G14">
            <v>11</v>
          </cell>
          <cell r="H14">
            <v>57.89473684210526</v>
          </cell>
          <cell r="I14">
            <v>1.4473684210526316</v>
          </cell>
          <cell r="J14">
            <v>3.6842105263157894</v>
          </cell>
          <cell r="K14">
            <v>73.68421052631578</v>
          </cell>
        </row>
        <row r="15">
          <cell r="B15" t="str">
            <v>Kuchipudi</v>
          </cell>
          <cell r="C15">
            <v>20</v>
          </cell>
          <cell r="D15">
            <v>17</v>
          </cell>
          <cell r="E15">
            <v>85</v>
          </cell>
          <cell r="F15">
            <v>2.125</v>
          </cell>
          <cell r="G15">
            <v>8</v>
          </cell>
          <cell r="H15">
            <v>40</v>
          </cell>
          <cell r="I15">
            <v>1</v>
          </cell>
          <cell r="J15">
            <v>3.125</v>
          </cell>
          <cell r="K15">
            <v>62.5</v>
          </cell>
        </row>
        <row r="16">
          <cell r="B16" t="str">
            <v>Thotlavalluru</v>
          </cell>
          <cell r="C16">
            <v>21</v>
          </cell>
          <cell r="D16">
            <v>19</v>
          </cell>
          <cell r="E16">
            <v>90.476190476190482</v>
          </cell>
          <cell r="F16">
            <v>2.2619047619047623</v>
          </cell>
          <cell r="G16">
            <v>8</v>
          </cell>
          <cell r="H16">
            <v>38.095238095238095</v>
          </cell>
          <cell r="I16">
            <v>0.95238095238095244</v>
          </cell>
          <cell r="J16">
            <v>3.2142857142857149</v>
          </cell>
          <cell r="K16">
            <v>64.285714285714292</v>
          </cell>
        </row>
        <row r="17">
          <cell r="B17" t="str">
            <v>Pamidimukkala</v>
          </cell>
          <cell r="C17">
            <v>16</v>
          </cell>
          <cell r="D17">
            <v>14</v>
          </cell>
          <cell r="E17">
            <v>87.5</v>
          </cell>
          <cell r="F17">
            <v>2.1875</v>
          </cell>
          <cell r="G17">
            <v>9</v>
          </cell>
          <cell r="H17">
            <v>56.25</v>
          </cell>
          <cell r="I17">
            <v>1.40625</v>
          </cell>
          <cell r="J17">
            <v>3.59375</v>
          </cell>
          <cell r="K17">
            <v>71.875</v>
          </cell>
        </row>
        <row r="18">
          <cell r="B18" t="str">
            <v>Vuyyuru Town UPS</v>
          </cell>
          <cell r="C18">
            <v>34</v>
          </cell>
          <cell r="D18">
            <v>31</v>
          </cell>
          <cell r="E18">
            <v>91.17647058823529</v>
          </cell>
          <cell r="F18">
            <v>2.2794117647058822</v>
          </cell>
          <cell r="G18">
            <v>21</v>
          </cell>
          <cell r="H18">
            <v>61.764705882352942</v>
          </cell>
          <cell r="I18">
            <v>1.5441176470588236</v>
          </cell>
          <cell r="J18">
            <v>3.8235294117647056</v>
          </cell>
          <cell r="K18">
            <v>76.470588235294116</v>
          </cell>
        </row>
        <row r="19">
          <cell r="B19" t="str">
            <v>Penamaluru UPS</v>
          </cell>
          <cell r="C19">
            <v>55</v>
          </cell>
          <cell r="D19">
            <v>52</v>
          </cell>
          <cell r="E19">
            <v>94.545454545454547</v>
          </cell>
          <cell r="F19">
            <v>2.3636363636363638</v>
          </cell>
          <cell r="G19">
            <v>38</v>
          </cell>
          <cell r="H19">
            <v>69.090909090909093</v>
          </cell>
          <cell r="I19">
            <v>1.7272727272727275</v>
          </cell>
          <cell r="J19">
            <v>4.0909090909090917</v>
          </cell>
          <cell r="K19">
            <v>81.818181818181813</v>
          </cell>
        </row>
        <row r="20">
          <cell r="B20" t="str">
            <v>Gannavaram UPS</v>
          </cell>
          <cell r="C20">
            <v>60</v>
          </cell>
          <cell r="D20">
            <v>56</v>
          </cell>
          <cell r="E20">
            <v>93.333333333333329</v>
          </cell>
          <cell r="F20">
            <v>2.3333333333333335</v>
          </cell>
          <cell r="G20">
            <v>23</v>
          </cell>
          <cell r="H20">
            <v>38.333333333333336</v>
          </cell>
          <cell r="I20">
            <v>0.95833333333333348</v>
          </cell>
          <cell r="J20">
            <v>3.291666666666667</v>
          </cell>
          <cell r="K20">
            <v>65.833333333333329</v>
          </cell>
        </row>
        <row r="21">
          <cell r="B21" t="str">
            <v>Unguturu</v>
          </cell>
          <cell r="C21">
            <v>20</v>
          </cell>
          <cell r="D21">
            <v>19</v>
          </cell>
          <cell r="E21">
            <v>95</v>
          </cell>
          <cell r="F21">
            <v>2.375</v>
          </cell>
          <cell r="G21">
            <v>12</v>
          </cell>
          <cell r="H21">
            <v>60</v>
          </cell>
          <cell r="I21">
            <v>1.5</v>
          </cell>
          <cell r="J21">
            <v>3.875</v>
          </cell>
          <cell r="K21">
            <v>77.5</v>
          </cell>
        </row>
        <row r="22">
          <cell r="B22" t="str">
            <v>Hanuman Junction</v>
          </cell>
          <cell r="C22">
            <v>30</v>
          </cell>
          <cell r="D22">
            <v>26</v>
          </cell>
          <cell r="E22">
            <v>86.666666666666671</v>
          </cell>
          <cell r="F22">
            <v>2.166666666666667</v>
          </cell>
          <cell r="G22">
            <v>21</v>
          </cell>
          <cell r="H22">
            <v>70</v>
          </cell>
          <cell r="I22">
            <v>1.75</v>
          </cell>
          <cell r="J22">
            <v>3.916666666666667</v>
          </cell>
          <cell r="K22">
            <v>78.333333333333343</v>
          </cell>
        </row>
        <row r="23">
          <cell r="B23" t="str">
            <v>Atkuru</v>
          </cell>
          <cell r="C23">
            <v>27</v>
          </cell>
          <cell r="D23">
            <v>25</v>
          </cell>
          <cell r="E23">
            <v>92.592592592592595</v>
          </cell>
          <cell r="F23">
            <v>2.3148148148148149</v>
          </cell>
          <cell r="G23">
            <v>17</v>
          </cell>
          <cell r="H23">
            <v>62.962962962962962</v>
          </cell>
          <cell r="I23">
            <v>1.5740740740740742</v>
          </cell>
          <cell r="J23">
            <v>3.8888888888888893</v>
          </cell>
          <cell r="K23">
            <v>77.777777777777771</v>
          </cell>
        </row>
        <row r="24">
          <cell r="B24" t="str">
            <v>Veeravalli</v>
          </cell>
          <cell r="C24">
            <v>15</v>
          </cell>
          <cell r="D24">
            <v>13</v>
          </cell>
          <cell r="E24">
            <v>86.666666666666671</v>
          </cell>
          <cell r="F24">
            <v>2.166666666666667</v>
          </cell>
          <cell r="G24">
            <v>12</v>
          </cell>
          <cell r="H24">
            <v>80</v>
          </cell>
          <cell r="I24">
            <v>2</v>
          </cell>
          <cell r="J24">
            <v>4.166666666666667</v>
          </cell>
          <cell r="K24">
            <v>83.333333333333343</v>
          </cell>
        </row>
        <row r="25">
          <cell r="B25" t="str">
            <v>Vuyyuru Rural</v>
          </cell>
          <cell r="C25">
            <v>26</v>
          </cell>
          <cell r="D25">
            <v>23</v>
          </cell>
          <cell r="E25">
            <v>88.461538461538467</v>
          </cell>
          <cell r="F25">
            <v>2.2115384615384617</v>
          </cell>
          <cell r="G25">
            <v>18</v>
          </cell>
          <cell r="H25">
            <v>69.230769230769226</v>
          </cell>
          <cell r="I25">
            <v>1.7307692307692308</v>
          </cell>
          <cell r="J25">
            <v>3.9423076923076925</v>
          </cell>
          <cell r="K25">
            <v>78.84615384615384</v>
          </cell>
        </row>
        <row r="26">
          <cell r="B26" t="str">
            <v>Kankipadu</v>
          </cell>
          <cell r="C26">
            <v>42</v>
          </cell>
          <cell r="D26">
            <v>38</v>
          </cell>
          <cell r="E26">
            <v>90.476190476190482</v>
          </cell>
          <cell r="F26">
            <v>2.2619047619047623</v>
          </cell>
          <cell r="G26">
            <v>13</v>
          </cell>
          <cell r="H26">
            <v>30.952380952380953</v>
          </cell>
          <cell r="I26">
            <v>0.77380952380952384</v>
          </cell>
          <cell r="J26">
            <v>3.035714285714286</v>
          </cell>
          <cell r="K26">
            <v>60.714285714285715</v>
          </cell>
        </row>
        <row r="27">
          <cell r="B27" t="str">
            <v>Inaguduru UPS</v>
          </cell>
          <cell r="C27">
            <v>33</v>
          </cell>
          <cell r="D27">
            <v>31</v>
          </cell>
          <cell r="E27">
            <v>93.939393939393938</v>
          </cell>
          <cell r="F27">
            <v>2.3484848484848486</v>
          </cell>
          <cell r="G27">
            <v>27</v>
          </cell>
          <cell r="H27">
            <v>81.818181818181813</v>
          </cell>
          <cell r="I27">
            <v>2.0454545454545454</v>
          </cell>
          <cell r="J27">
            <v>4.3939393939393945</v>
          </cell>
          <cell r="K27">
            <v>87.878787878787875</v>
          </cell>
        </row>
        <row r="28">
          <cell r="B28" t="str">
            <v>Chilakalapudi UPS</v>
          </cell>
          <cell r="C28">
            <v>32</v>
          </cell>
          <cell r="D28">
            <v>31</v>
          </cell>
          <cell r="E28">
            <v>96.875</v>
          </cell>
          <cell r="F28">
            <v>2.421875</v>
          </cell>
          <cell r="G28">
            <v>11</v>
          </cell>
          <cell r="H28">
            <v>34.375</v>
          </cell>
          <cell r="I28">
            <v>0.859375</v>
          </cell>
          <cell r="J28">
            <v>3.28125</v>
          </cell>
          <cell r="K28">
            <v>65.625</v>
          </cell>
        </row>
        <row r="29">
          <cell r="B29" t="str">
            <v>Robertsonpet</v>
          </cell>
          <cell r="C29">
            <v>40</v>
          </cell>
          <cell r="D29">
            <v>37</v>
          </cell>
          <cell r="E29">
            <v>92.5</v>
          </cell>
          <cell r="F29">
            <v>2.3125</v>
          </cell>
          <cell r="G29">
            <v>25</v>
          </cell>
          <cell r="H29">
            <v>62.5</v>
          </cell>
          <cell r="I29">
            <v>1.5625</v>
          </cell>
          <cell r="J29">
            <v>3.875</v>
          </cell>
          <cell r="K29">
            <v>77.5</v>
          </cell>
        </row>
        <row r="30">
          <cell r="B30" t="str">
            <v>Bantumilli</v>
          </cell>
          <cell r="C30">
            <v>18</v>
          </cell>
          <cell r="D30">
            <v>16</v>
          </cell>
          <cell r="E30">
            <v>88.888888888888886</v>
          </cell>
          <cell r="F30">
            <v>2.2222222222222223</v>
          </cell>
          <cell r="G30">
            <v>2</v>
          </cell>
          <cell r="H30">
            <v>11.111111111111111</v>
          </cell>
          <cell r="I30">
            <v>0.27777777777777779</v>
          </cell>
          <cell r="J30">
            <v>2.5</v>
          </cell>
          <cell r="K30">
            <v>50</v>
          </cell>
        </row>
        <row r="31">
          <cell r="B31" t="str">
            <v>Guduru</v>
          </cell>
          <cell r="C31">
            <v>19</v>
          </cell>
          <cell r="D31">
            <v>17</v>
          </cell>
          <cell r="E31">
            <v>89.473684210526315</v>
          </cell>
          <cell r="F31">
            <v>2.236842105263158</v>
          </cell>
          <cell r="G31">
            <v>11</v>
          </cell>
          <cell r="H31">
            <v>57.89473684210526</v>
          </cell>
          <cell r="I31">
            <v>1.4473684210526316</v>
          </cell>
          <cell r="J31">
            <v>3.6842105263157894</v>
          </cell>
          <cell r="K31">
            <v>73.68421052631578</v>
          </cell>
        </row>
        <row r="32">
          <cell r="B32" t="str">
            <v>Pedana</v>
          </cell>
          <cell r="C32">
            <v>29</v>
          </cell>
          <cell r="D32">
            <v>26</v>
          </cell>
          <cell r="E32">
            <v>89.65517241379311</v>
          </cell>
          <cell r="F32">
            <v>2.2413793103448278</v>
          </cell>
          <cell r="G32">
            <v>20</v>
          </cell>
          <cell r="H32">
            <v>68.965517241379317</v>
          </cell>
          <cell r="I32">
            <v>1.7241379310344831</v>
          </cell>
          <cell r="J32">
            <v>3.9655172413793109</v>
          </cell>
          <cell r="K32">
            <v>79.310344827586221</v>
          </cell>
        </row>
        <row r="33">
          <cell r="B33" t="str">
            <v>Kruthivennu</v>
          </cell>
          <cell r="C33">
            <v>14</v>
          </cell>
          <cell r="D33">
            <v>13</v>
          </cell>
          <cell r="E33">
            <v>92.857142857142861</v>
          </cell>
          <cell r="F33">
            <v>2.3214285714285716</v>
          </cell>
          <cell r="G33">
            <v>2</v>
          </cell>
          <cell r="H33">
            <v>14.285714285714286</v>
          </cell>
          <cell r="I33">
            <v>0.35714285714285721</v>
          </cell>
          <cell r="J33">
            <v>2.6785714285714288</v>
          </cell>
          <cell r="K33">
            <v>53.571428571428577</v>
          </cell>
        </row>
        <row r="34">
          <cell r="B34" t="str">
            <v>Bandar Taluk PS</v>
          </cell>
          <cell r="C34">
            <v>26</v>
          </cell>
          <cell r="D34">
            <v>23</v>
          </cell>
          <cell r="E34">
            <v>88.461538461538467</v>
          </cell>
          <cell r="F34">
            <v>2.2115384615384617</v>
          </cell>
          <cell r="G34">
            <v>20</v>
          </cell>
          <cell r="H34">
            <v>76.92307692307692</v>
          </cell>
          <cell r="I34">
            <v>1.9230769230769231</v>
          </cell>
          <cell r="J34">
            <v>4.134615384615385</v>
          </cell>
          <cell r="K34">
            <v>82.692307692307693</v>
          </cell>
        </row>
        <row r="35">
          <cell r="B35" t="str">
            <v>Machilipatnam Town</v>
          </cell>
          <cell r="C35">
            <v>26</v>
          </cell>
          <cell r="D35">
            <v>25</v>
          </cell>
          <cell r="E35">
            <v>96.15384615384616</v>
          </cell>
          <cell r="F35">
            <v>2.4038461538461542</v>
          </cell>
          <cell r="G35">
            <v>23</v>
          </cell>
          <cell r="H35">
            <v>88.461538461538467</v>
          </cell>
          <cell r="I35">
            <v>2.2115384615384617</v>
          </cell>
          <cell r="J35">
            <v>4.6153846153846159</v>
          </cell>
          <cell r="K35">
            <v>92.307692307692321</v>
          </cell>
        </row>
        <row r="36">
          <cell r="B36" t="str">
            <v>Mahila UPS, Machilipatnam</v>
          </cell>
          <cell r="C36">
            <v>35</v>
          </cell>
          <cell r="D36">
            <v>32</v>
          </cell>
          <cell r="E36">
            <v>91.428571428571431</v>
          </cell>
          <cell r="F36">
            <v>2.285714285714286</v>
          </cell>
          <cell r="G36">
            <v>26</v>
          </cell>
          <cell r="H36">
            <v>74.285714285714292</v>
          </cell>
          <cell r="I36">
            <v>1.8571428571428574</v>
          </cell>
          <cell r="J36">
            <v>4.1428571428571432</v>
          </cell>
          <cell r="K36">
            <v>82.857142857142861</v>
          </cell>
        </row>
        <row r="37">
          <cell r="C37">
            <v>927</v>
          </cell>
          <cell r="D37">
            <v>841</v>
          </cell>
          <cell r="E37">
            <v>90.554227061050156</v>
          </cell>
          <cell r="F37">
            <v>2.2638556765262545</v>
          </cell>
          <cell r="G37">
            <v>532</v>
          </cell>
          <cell r="H37">
            <v>56.01979639265852</v>
          </cell>
          <cell r="I37">
            <v>1.4004949098164627</v>
          </cell>
          <cell r="J37">
            <v>3.6643505863427173</v>
          </cell>
          <cell r="K37">
            <v>73.287011726854317</v>
          </cell>
        </row>
      </sheetData>
      <sheetData sheetId="16">
        <row r="2">
          <cell r="B2" t="str">
            <v>PS</v>
          </cell>
          <cell r="C2" t="str">
            <v>Is Drone Available</v>
          </cell>
          <cell r="D2" t="str">
            <v>Hours</v>
          </cell>
          <cell r="E2" t="str">
            <v>Min</v>
          </cell>
          <cell r="F2" t="str">
            <v>Sec</v>
          </cell>
          <cell r="G2" t="str">
            <v>Total Seconds</v>
          </cell>
          <cell r="H2" t="str">
            <v>Flying  Value
(80%)</v>
          </cell>
          <cell r="I2" t="str">
            <v>Enforce
ment
( 20%)</v>
          </cell>
          <cell r="J2" t="str">
            <v>Raw Value</v>
          </cell>
        </row>
        <row r="3">
          <cell r="B3" t="str">
            <v>Atkuru</v>
          </cell>
          <cell r="C3" t="str">
            <v>YES</v>
          </cell>
          <cell r="D3">
            <v>0</v>
          </cell>
          <cell r="G3">
            <v>-1</v>
          </cell>
          <cell r="H3">
            <v>20</v>
          </cell>
          <cell r="I3">
            <v>0</v>
          </cell>
          <cell r="J3">
            <v>20</v>
          </cell>
        </row>
        <row r="4">
          <cell r="B4" t="str">
            <v>Avanigadda</v>
          </cell>
          <cell r="C4" t="str">
            <v>YES</v>
          </cell>
          <cell r="D4">
            <v>47</v>
          </cell>
          <cell r="G4">
            <v>169200</v>
          </cell>
          <cell r="H4">
            <v>80</v>
          </cell>
          <cell r="I4">
            <v>10</v>
          </cell>
          <cell r="J4">
            <v>90</v>
          </cell>
        </row>
        <row r="5">
          <cell r="B5" t="str">
            <v>Bandar Taluk PS</v>
          </cell>
          <cell r="C5" t="str">
            <v>YES</v>
          </cell>
          <cell r="D5">
            <v>160</v>
          </cell>
          <cell r="G5">
            <v>576000</v>
          </cell>
          <cell r="H5">
            <v>80</v>
          </cell>
          <cell r="I5">
            <v>20</v>
          </cell>
          <cell r="J5">
            <v>100</v>
          </cell>
        </row>
        <row r="6">
          <cell r="B6" t="str">
            <v>Bantumilli</v>
          </cell>
          <cell r="C6" t="str">
            <v>No</v>
          </cell>
          <cell r="D6">
            <v>0</v>
          </cell>
          <cell r="G6">
            <v>-1</v>
          </cell>
          <cell r="H6">
            <v>20</v>
          </cell>
          <cell r="I6">
            <v>0</v>
          </cell>
          <cell r="J6">
            <v>20</v>
          </cell>
        </row>
        <row r="7">
          <cell r="B7" t="str">
            <v>Challapalli</v>
          </cell>
          <cell r="C7" t="str">
            <v>YES</v>
          </cell>
          <cell r="D7">
            <v>8</v>
          </cell>
          <cell r="G7">
            <v>28800</v>
          </cell>
          <cell r="H7">
            <v>34</v>
          </cell>
          <cell r="I7">
            <v>0</v>
          </cell>
          <cell r="J7">
            <v>34</v>
          </cell>
        </row>
        <row r="8">
          <cell r="B8" t="str">
            <v>Chilakalapudi UPS</v>
          </cell>
          <cell r="C8" t="str">
            <v>YES</v>
          </cell>
          <cell r="D8">
            <v>0</v>
          </cell>
          <cell r="G8">
            <v>-1</v>
          </cell>
          <cell r="H8">
            <v>20</v>
          </cell>
          <cell r="I8">
            <v>0</v>
          </cell>
          <cell r="J8">
            <v>20</v>
          </cell>
        </row>
        <row r="9">
          <cell r="B9" t="str">
            <v>Gannavaram UPS</v>
          </cell>
          <cell r="C9" t="str">
            <v>NO</v>
          </cell>
          <cell r="D9">
            <v>0</v>
          </cell>
          <cell r="G9">
            <v>-1</v>
          </cell>
          <cell r="H9">
            <v>20</v>
          </cell>
          <cell r="I9">
            <v>0</v>
          </cell>
          <cell r="J9">
            <v>20</v>
          </cell>
        </row>
        <row r="10">
          <cell r="B10" t="str">
            <v>Ghantasala</v>
          </cell>
          <cell r="C10" t="str">
            <v>YES</v>
          </cell>
          <cell r="D10">
            <v>0</v>
          </cell>
          <cell r="G10">
            <v>-1</v>
          </cell>
          <cell r="H10">
            <v>20</v>
          </cell>
          <cell r="I10">
            <v>0</v>
          </cell>
          <cell r="J10">
            <v>20</v>
          </cell>
        </row>
        <row r="11">
          <cell r="B11" t="str">
            <v>Gudivada I Town UPS</v>
          </cell>
          <cell r="C11" t="str">
            <v>YES</v>
          </cell>
          <cell r="D11">
            <v>40</v>
          </cell>
          <cell r="G11">
            <v>144000</v>
          </cell>
          <cell r="H11">
            <v>80</v>
          </cell>
          <cell r="I11">
            <v>9</v>
          </cell>
          <cell r="J11">
            <v>89</v>
          </cell>
        </row>
        <row r="12">
          <cell r="B12" t="str">
            <v>Gudivada II Town UPS</v>
          </cell>
          <cell r="C12" t="str">
            <v>YES</v>
          </cell>
          <cell r="D12">
            <v>32</v>
          </cell>
          <cell r="G12">
            <v>115200</v>
          </cell>
          <cell r="H12">
            <v>75</v>
          </cell>
          <cell r="I12">
            <v>6</v>
          </cell>
          <cell r="J12">
            <v>81</v>
          </cell>
        </row>
        <row r="13">
          <cell r="B13" t="str">
            <v>Gudivada Rural</v>
          </cell>
          <cell r="C13" t="str">
            <v>YES</v>
          </cell>
          <cell r="D13">
            <v>16</v>
          </cell>
          <cell r="G13">
            <v>57600</v>
          </cell>
          <cell r="H13">
            <v>47</v>
          </cell>
          <cell r="I13">
            <v>7</v>
          </cell>
          <cell r="J13">
            <v>54</v>
          </cell>
        </row>
        <row r="14">
          <cell r="B14" t="str">
            <v>Gudlavalleru</v>
          </cell>
          <cell r="C14" t="str">
            <v>YES</v>
          </cell>
          <cell r="D14">
            <v>0</v>
          </cell>
          <cell r="G14">
            <v>-1</v>
          </cell>
          <cell r="H14">
            <v>20</v>
          </cell>
          <cell r="I14">
            <v>0</v>
          </cell>
          <cell r="J14">
            <v>20</v>
          </cell>
        </row>
        <row r="15">
          <cell r="B15" t="str">
            <v>Guduru</v>
          </cell>
          <cell r="C15" t="str">
            <v>YES</v>
          </cell>
          <cell r="D15">
            <v>0</v>
          </cell>
          <cell r="G15">
            <v>-1</v>
          </cell>
          <cell r="H15">
            <v>20</v>
          </cell>
          <cell r="I15">
            <v>0</v>
          </cell>
          <cell r="J15">
            <v>20</v>
          </cell>
        </row>
        <row r="16">
          <cell r="B16" t="str">
            <v>Hanuman Junction</v>
          </cell>
          <cell r="C16" t="str">
            <v>YES</v>
          </cell>
          <cell r="D16">
            <v>0</v>
          </cell>
          <cell r="G16">
            <v>-1</v>
          </cell>
          <cell r="H16">
            <v>20</v>
          </cell>
          <cell r="I16">
            <v>0</v>
          </cell>
          <cell r="J16">
            <v>20</v>
          </cell>
        </row>
        <row r="17">
          <cell r="B17" t="str">
            <v>Inaguduru UPS</v>
          </cell>
          <cell r="C17" t="str">
            <v>YES</v>
          </cell>
          <cell r="D17">
            <v>0</v>
          </cell>
          <cell r="G17">
            <v>-1</v>
          </cell>
          <cell r="H17">
            <v>20</v>
          </cell>
          <cell r="I17">
            <v>0</v>
          </cell>
          <cell r="J17">
            <v>20</v>
          </cell>
        </row>
        <row r="18">
          <cell r="B18" t="str">
            <v>Kankipadu</v>
          </cell>
          <cell r="C18" t="str">
            <v>YES</v>
          </cell>
          <cell r="D18">
            <v>0</v>
          </cell>
          <cell r="G18">
            <v>-1</v>
          </cell>
          <cell r="H18">
            <v>20</v>
          </cell>
          <cell r="I18">
            <v>0</v>
          </cell>
          <cell r="J18">
            <v>20</v>
          </cell>
        </row>
        <row r="19">
          <cell r="B19" t="str">
            <v>Koduru</v>
          </cell>
          <cell r="C19" t="str">
            <v>YES</v>
          </cell>
          <cell r="D19">
            <v>0</v>
          </cell>
          <cell r="G19">
            <v>-1</v>
          </cell>
          <cell r="H19">
            <v>20</v>
          </cell>
          <cell r="I19">
            <v>0</v>
          </cell>
          <cell r="J19">
            <v>20</v>
          </cell>
        </row>
        <row r="20">
          <cell r="B20" t="str">
            <v>Kruthivennu</v>
          </cell>
          <cell r="C20" t="str">
            <v>YES</v>
          </cell>
          <cell r="D20">
            <v>0</v>
          </cell>
          <cell r="G20">
            <v>-1</v>
          </cell>
          <cell r="H20">
            <v>20</v>
          </cell>
          <cell r="I20">
            <v>0</v>
          </cell>
          <cell r="J20">
            <v>20</v>
          </cell>
        </row>
        <row r="21">
          <cell r="B21" t="str">
            <v>Kuchipudi</v>
          </cell>
          <cell r="C21" t="str">
            <v>YES</v>
          </cell>
          <cell r="D21">
            <v>0</v>
          </cell>
          <cell r="G21">
            <v>-1</v>
          </cell>
          <cell r="H21">
            <v>20</v>
          </cell>
          <cell r="I21">
            <v>0</v>
          </cell>
          <cell r="J21">
            <v>20</v>
          </cell>
        </row>
        <row r="22">
          <cell r="B22" t="str">
            <v>Machilipatnam Town</v>
          </cell>
          <cell r="C22" t="str">
            <v>YES</v>
          </cell>
          <cell r="D22">
            <v>0</v>
          </cell>
          <cell r="G22">
            <v>-1</v>
          </cell>
          <cell r="H22">
            <v>20</v>
          </cell>
          <cell r="I22">
            <v>0</v>
          </cell>
          <cell r="J22">
            <v>20</v>
          </cell>
        </row>
        <row r="23">
          <cell r="B23" t="str">
            <v>Mahila UPS, Machilipatnam</v>
          </cell>
          <cell r="C23" t="str">
            <v>NO</v>
          </cell>
          <cell r="D23">
            <v>0</v>
          </cell>
          <cell r="G23">
            <v>-1</v>
          </cell>
          <cell r="H23">
            <v>20</v>
          </cell>
          <cell r="I23">
            <v>0</v>
          </cell>
          <cell r="J23">
            <v>20</v>
          </cell>
        </row>
        <row r="24">
          <cell r="B24" t="str">
            <v>Nagayalanka</v>
          </cell>
          <cell r="C24" t="str">
            <v>YES</v>
          </cell>
          <cell r="D24">
            <v>0</v>
          </cell>
          <cell r="G24">
            <v>-1</v>
          </cell>
          <cell r="H24">
            <v>20</v>
          </cell>
          <cell r="I24">
            <v>0</v>
          </cell>
          <cell r="J24">
            <v>20</v>
          </cell>
        </row>
        <row r="25">
          <cell r="B25" t="str">
            <v>Nandivada</v>
          </cell>
          <cell r="C25" t="str">
            <v>YES</v>
          </cell>
          <cell r="D25">
            <v>0</v>
          </cell>
          <cell r="G25">
            <v>-1</v>
          </cell>
          <cell r="H25">
            <v>20</v>
          </cell>
          <cell r="I25">
            <v>0</v>
          </cell>
          <cell r="J25">
            <v>20</v>
          </cell>
        </row>
        <row r="26">
          <cell r="B26" t="str">
            <v>Pamarru</v>
          </cell>
          <cell r="C26" t="str">
            <v>YES</v>
          </cell>
          <cell r="D26">
            <v>8</v>
          </cell>
          <cell r="G26">
            <v>28800</v>
          </cell>
          <cell r="H26">
            <v>34</v>
          </cell>
          <cell r="I26">
            <v>0</v>
          </cell>
          <cell r="J26">
            <v>34</v>
          </cell>
        </row>
        <row r="27">
          <cell r="B27" t="str">
            <v>Pamidimukkala</v>
          </cell>
          <cell r="C27" t="str">
            <v>YES</v>
          </cell>
          <cell r="D27">
            <v>8</v>
          </cell>
          <cell r="G27">
            <v>28800</v>
          </cell>
          <cell r="H27">
            <v>34</v>
          </cell>
          <cell r="I27">
            <v>2</v>
          </cell>
          <cell r="J27">
            <v>36</v>
          </cell>
        </row>
        <row r="28">
          <cell r="B28" t="str">
            <v>Pedana</v>
          </cell>
          <cell r="C28" t="str">
            <v>YES</v>
          </cell>
          <cell r="D28">
            <v>10</v>
          </cell>
          <cell r="G28">
            <v>36000</v>
          </cell>
          <cell r="H28">
            <v>37</v>
          </cell>
          <cell r="I28">
            <v>0</v>
          </cell>
          <cell r="J28">
            <v>37</v>
          </cell>
        </row>
        <row r="29">
          <cell r="B29" t="str">
            <v>Pedaparupudi</v>
          </cell>
          <cell r="C29" t="str">
            <v>YES</v>
          </cell>
          <cell r="D29">
            <v>0</v>
          </cell>
          <cell r="G29">
            <v>-1</v>
          </cell>
          <cell r="H29">
            <v>20</v>
          </cell>
          <cell r="I29">
            <v>0</v>
          </cell>
          <cell r="J29">
            <v>20</v>
          </cell>
        </row>
        <row r="30">
          <cell r="B30" t="str">
            <v>Penamaluru UPS</v>
          </cell>
          <cell r="C30" t="str">
            <v>YES</v>
          </cell>
          <cell r="D30">
            <v>28</v>
          </cell>
          <cell r="G30">
            <v>100800</v>
          </cell>
          <cell r="H30">
            <v>68</v>
          </cell>
          <cell r="I30">
            <v>7</v>
          </cell>
          <cell r="J30">
            <v>75</v>
          </cell>
        </row>
        <row r="31">
          <cell r="B31" t="str">
            <v>Robertsonpet</v>
          </cell>
          <cell r="C31" t="str">
            <v>YES</v>
          </cell>
          <cell r="D31">
            <v>0</v>
          </cell>
          <cell r="G31">
            <v>-1</v>
          </cell>
          <cell r="H31">
            <v>20</v>
          </cell>
          <cell r="I31">
            <v>0</v>
          </cell>
          <cell r="J31">
            <v>20</v>
          </cell>
        </row>
        <row r="32">
          <cell r="B32" t="str">
            <v>Thotlavalluru</v>
          </cell>
          <cell r="C32" t="str">
            <v>YES</v>
          </cell>
          <cell r="D32">
            <v>8</v>
          </cell>
          <cell r="G32">
            <v>28800</v>
          </cell>
          <cell r="H32">
            <v>34</v>
          </cell>
          <cell r="I32">
            <v>2</v>
          </cell>
          <cell r="J32">
            <v>36</v>
          </cell>
        </row>
        <row r="33">
          <cell r="B33" t="str">
            <v>Unguturu</v>
          </cell>
          <cell r="C33" t="str">
            <v>YES</v>
          </cell>
          <cell r="D33">
            <v>0</v>
          </cell>
          <cell r="G33">
            <v>-1</v>
          </cell>
          <cell r="H33">
            <v>20</v>
          </cell>
          <cell r="I33">
            <v>0</v>
          </cell>
          <cell r="J33">
            <v>20</v>
          </cell>
        </row>
        <row r="34">
          <cell r="B34" t="str">
            <v>Veeravalli</v>
          </cell>
          <cell r="C34" t="str">
            <v>YES</v>
          </cell>
          <cell r="D34">
            <v>0</v>
          </cell>
          <cell r="G34">
            <v>-1</v>
          </cell>
          <cell r="H34">
            <v>20</v>
          </cell>
          <cell r="I34">
            <v>0</v>
          </cell>
          <cell r="J34">
            <v>20</v>
          </cell>
        </row>
        <row r="35">
          <cell r="B35" t="str">
            <v>Vuyyuru Rural</v>
          </cell>
          <cell r="C35" t="str">
            <v>YES</v>
          </cell>
          <cell r="D35">
            <v>0</v>
          </cell>
          <cell r="G35">
            <v>-1</v>
          </cell>
          <cell r="H35">
            <v>20</v>
          </cell>
          <cell r="I35">
            <v>0</v>
          </cell>
          <cell r="J35">
            <v>20</v>
          </cell>
        </row>
        <row r="36">
          <cell r="B36" t="str">
            <v>Vuyyuru Town UPS</v>
          </cell>
          <cell r="C36" t="str">
            <v>YES</v>
          </cell>
          <cell r="D36">
            <v>0</v>
          </cell>
          <cell r="G36">
            <v>-1</v>
          </cell>
          <cell r="H36">
            <v>20</v>
          </cell>
          <cell r="I36">
            <v>0</v>
          </cell>
          <cell r="J36">
            <v>20</v>
          </cell>
        </row>
      </sheetData>
      <sheetData sheetId="17">
        <row r="2">
          <cell r="B2" t="str">
            <v>PS</v>
          </cell>
          <cell r="C2" t="str">
            <v>Total Tabs
 Config</v>
          </cell>
          <cell r="D2" t="str">
            <v>ERU Connected Live</v>
          </cell>
          <cell r="E2" t="str">
            <v>Dis-connected Tabs</v>
          </cell>
          <cell r="F2" t="str">
            <v>% of Disconnected Tabs</v>
          </cell>
          <cell r="G2" t="str">
            <v>Raw Value</v>
          </cell>
          <cell r="H2" t="str">
            <v>Marks</v>
          </cell>
        </row>
        <row r="3">
          <cell r="B3" t="str">
            <v>Nagayalanka</v>
          </cell>
          <cell r="C3">
            <v>2</v>
          </cell>
          <cell r="D3">
            <v>2</v>
          </cell>
          <cell r="E3">
            <v>0</v>
          </cell>
          <cell r="F3">
            <v>0</v>
          </cell>
          <cell r="G3">
            <v>100</v>
          </cell>
          <cell r="H3">
            <v>5</v>
          </cell>
        </row>
        <row r="4">
          <cell r="B4" t="str">
            <v>Avanigadda</v>
          </cell>
          <cell r="C4">
            <v>3</v>
          </cell>
          <cell r="D4">
            <v>3</v>
          </cell>
          <cell r="E4">
            <v>0</v>
          </cell>
          <cell r="F4">
            <v>0</v>
          </cell>
          <cell r="G4">
            <v>100</v>
          </cell>
          <cell r="H4">
            <v>5</v>
          </cell>
        </row>
        <row r="5">
          <cell r="B5" t="str">
            <v>Koduru</v>
          </cell>
          <cell r="C5">
            <v>5</v>
          </cell>
          <cell r="D5">
            <v>5</v>
          </cell>
          <cell r="E5">
            <v>0</v>
          </cell>
          <cell r="F5">
            <v>0</v>
          </cell>
          <cell r="G5">
            <v>100</v>
          </cell>
          <cell r="H5">
            <v>5</v>
          </cell>
        </row>
        <row r="6">
          <cell r="B6" t="str">
            <v>Challapalli</v>
          </cell>
          <cell r="C6">
            <v>3</v>
          </cell>
          <cell r="D6">
            <v>3</v>
          </cell>
          <cell r="E6">
            <v>0</v>
          </cell>
          <cell r="F6">
            <v>0</v>
          </cell>
          <cell r="G6">
            <v>100</v>
          </cell>
          <cell r="H6">
            <v>5</v>
          </cell>
        </row>
        <row r="7">
          <cell r="B7" t="str">
            <v>Ghantasala</v>
          </cell>
          <cell r="C7">
            <v>3</v>
          </cell>
          <cell r="D7">
            <v>3</v>
          </cell>
          <cell r="E7">
            <v>0</v>
          </cell>
          <cell r="F7">
            <v>0</v>
          </cell>
          <cell r="G7">
            <v>100</v>
          </cell>
          <cell r="H7">
            <v>5</v>
          </cell>
        </row>
        <row r="8">
          <cell r="B8" t="str">
            <v>Gudivada I Town UPS</v>
          </cell>
          <cell r="C8">
            <v>2</v>
          </cell>
          <cell r="D8">
            <v>2</v>
          </cell>
          <cell r="E8">
            <v>0</v>
          </cell>
          <cell r="F8">
            <v>0</v>
          </cell>
          <cell r="G8">
            <v>100</v>
          </cell>
          <cell r="H8">
            <v>5</v>
          </cell>
        </row>
        <row r="9">
          <cell r="B9" t="str">
            <v>Gudivada II Town UPS</v>
          </cell>
          <cell r="C9">
            <v>2</v>
          </cell>
          <cell r="D9">
            <v>2</v>
          </cell>
          <cell r="E9">
            <v>0</v>
          </cell>
          <cell r="F9">
            <v>0</v>
          </cell>
          <cell r="G9">
            <v>100</v>
          </cell>
          <cell r="H9">
            <v>5</v>
          </cell>
        </row>
        <row r="10">
          <cell r="B10" t="str">
            <v>Nandivada</v>
          </cell>
          <cell r="C10">
            <v>2</v>
          </cell>
          <cell r="D10">
            <v>2</v>
          </cell>
          <cell r="E10">
            <v>0</v>
          </cell>
          <cell r="F10">
            <v>0</v>
          </cell>
          <cell r="G10">
            <v>100</v>
          </cell>
          <cell r="H10">
            <v>5</v>
          </cell>
        </row>
        <row r="11">
          <cell r="B11" t="str">
            <v>Gudivada Rural</v>
          </cell>
          <cell r="C11">
            <v>2</v>
          </cell>
          <cell r="D11">
            <v>2</v>
          </cell>
          <cell r="E11">
            <v>0</v>
          </cell>
          <cell r="F11">
            <v>0</v>
          </cell>
          <cell r="G11">
            <v>100</v>
          </cell>
          <cell r="H11">
            <v>5</v>
          </cell>
        </row>
        <row r="12">
          <cell r="B12" t="str">
            <v>Gudlavalleru</v>
          </cell>
          <cell r="C12">
            <v>2</v>
          </cell>
          <cell r="D12">
            <v>2</v>
          </cell>
          <cell r="E12">
            <v>0</v>
          </cell>
          <cell r="F12">
            <v>0</v>
          </cell>
          <cell r="G12">
            <v>100</v>
          </cell>
          <cell r="H12">
            <v>5</v>
          </cell>
        </row>
        <row r="13">
          <cell r="B13" t="str">
            <v>Pedaparupudi</v>
          </cell>
          <cell r="C13">
            <v>3</v>
          </cell>
          <cell r="D13">
            <v>3</v>
          </cell>
          <cell r="E13">
            <v>2</v>
          </cell>
          <cell r="F13">
            <v>66.666666666666657</v>
          </cell>
          <cell r="G13">
            <v>100</v>
          </cell>
          <cell r="H13">
            <v>5</v>
          </cell>
        </row>
        <row r="14">
          <cell r="B14" t="str">
            <v>Pamarru</v>
          </cell>
          <cell r="C14">
            <v>2</v>
          </cell>
          <cell r="D14">
            <v>2</v>
          </cell>
          <cell r="E14">
            <v>1</v>
          </cell>
          <cell r="F14">
            <v>50</v>
          </cell>
          <cell r="G14">
            <v>100</v>
          </cell>
          <cell r="H14">
            <v>5</v>
          </cell>
        </row>
        <row r="15">
          <cell r="B15" t="str">
            <v>Kuchipudi</v>
          </cell>
          <cell r="C15">
            <v>3</v>
          </cell>
          <cell r="D15">
            <v>3</v>
          </cell>
          <cell r="E15">
            <v>0</v>
          </cell>
          <cell r="F15">
            <v>0</v>
          </cell>
          <cell r="G15">
            <v>100</v>
          </cell>
          <cell r="H15">
            <v>5</v>
          </cell>
        </row>
        <row r="16">
          <cell r="B16" t="str">
            <v>Thotlavalluru</v>
          </cell>
          <cell r="C16">
            <v>2</v>
          </cell>
          <cell r="D16">
            <v>2</v>
          </cell>
          <cell r="E16">
            <v>1</v>
          </cell>
          <cell r="F16">
            <v>50</v>
          </cell>
          <cell r="G16">
            <v>100</v>
          </cell>
          <cell r="H16">
            <v>5</v>
          </cell>
        </row>
        <row r="17">
          <cell r="B17" t="str">
            <v>Pamidimukkala</v>
          </cell>
          <cell r="C17">
            <v>2</v>
          </cell>
          <cell r="D17">
            <v>2</v>
          </cell>
          <cell r="E17">
            <v>0</v>
          </cell>
          <cell r="F17">
            <v>0</v>
          </cell>
          <cell r="G17">
            <v>100</v>
          </cell>
          <cell r="H17">
            <v>5</v>
          </cell>
        </row>
        <row r="18">
          <cell r="B18" t="str">
            <v>Vuyyuru Town UPS</v>
          </cell>
          <cell r="C18">
            <v>3</v>
          </cell>
          <cell r="D18">
            <v>3</v>
          </cell>
          <cell r="E18">
            <v>0</v>
          </cell>
          <cell r="F18">
            <v>0</v>
          </cell>
          <cell r="G18">
            <v>100</v>
          </cell>
          <cell r="H18">
            <v>5</v>
          </cell>
        </row>
        <row r="19">
          <cell r="B19" t="str">
            <v>Penamaluru UPS</v>
          </cell>
          <cell r="C19">
            <v>3</v>
          </cell>
          <cell r="D19">
            <v>3</v>
          </cell>
          <cell r="E19">
            <v>0</v>
          </cell>
          <cell r="F19">
            <v>0</v>
          </cell>
          <cell r="G19">
            <v>100</v>
          </cell>
          <cell r="H19">
            <v>5</v>
          </cell>
        </row>
        <row r="20">
          <cell r="B20" t="str">
            <v>Gannavaram UPS</v>
          </cell>
          <cell r="C20">
            <v>4</v>
          </cell>
          <cell r="D20">
            <v>4</v>
          </cell>
          <cell r="E20">
            <v>1</v>
          </cell>
          <cell r="F20">
            <v>25</v>
          </cell>
          <cell r="G20">
            <v>100</v>
          </cell>
          <cell r="H20">
            <v>5</v>
          </cell>
        </row>
        <row r="21">
          <cell r="B21" t="str">
            <v>Unguturu</v>
          </cell>
          <cell r="C21">
            <v>3</v>
          </cell>
          <cell r="D21">
            <v>3</v>
          </cell>
          <cell r="E21">
            <v>0</v>
          </cell>
          <cell r="F21">
            <v>0</v>
          </cell>
          <cell r="G21">
            <v>100</v>
          </cell>
          <cell r="H21">
            <v>5</v>
          </cell>
        </row>
        <row r="22">
          <cell r="B22" t="str">
            <v>Hanuman Junction</v>
          </cell>
          <cell r="C22">
            <v>3</v>
          </cell>
          <cell r="D22">
            <v>3</v>
          </cell>
          <cell r="E22">
            <v>0</v>
          </cell>
          <cell r="F22">
            <v>0</v>
          </cell>
          <cell r="G22">
            <v>100</v>
          </cell>
          <cell r="H22">
            <v>5</v>
          </cell>
        </row>
        <row r="23">
          <cell r="B23" t="str">
            <v>Atkuru</v>
          </cell>
          <cell r="C23">
            <v>3</v>
          </cell>
          <cell r="D23">
            <v>3</v>
          </cell>
          <cell r="E23">
            <v>0</v>
          </cell>
          <cell r="F23">
            <v>0</v>
          </cell>
          <cell r="G23">
            <v>100</v>
          </cell>
          <cell r="H23">
            <v>5</v>
          </cell>
        </row>
        <row r="24">
          <cell r="B24" t="str">
            <v>Veeravalli</v>
          </cell>
          <cell r="C24">
            <v>2</v>
          </cell>
          <cell r="D24">
            <v>2</v>
          </cell>
          <cell r="E24">
            <v>0</v>
          </cell>
          <cell r="F24">
            <v>0</v>
          </cell>
          <cell r="G24">
            <v>100</v>
          </cell>
          <cell r="H24">
            <v>5</v>
          </cell>
        </row>
        <row r="25">
          <cell r="B25" t="str">
            <v>Vuyyuru Rural</v>
          </cell>
          <cell r="C25">
            <v>2</v>
          </cell>
          <cell r="D25">
            <v>2</v>
          </cell>
          <cell r="E25">
            <v>0</v>
          </cell>
          <cell r="F25">
            <v>0</v>
          </cell>
          <cell r="G25">
            <v>100</v>
          </cell>
          <cell r="H25">
            <v>5</v>
          </cell>
        </row>
        <row r="26">
          <cell r="B26" t="str">
            <v>Kankipadu</v>
          </cell>
          <cell r="C26">
            <v>3</v>
          </cell>
          <cell r="D26">
            <v>3</v>
          </cell>
          <cell r="E26">
            <v>0</v>
          </cell>
          <cell r="F26">
            <v>0</v>
          </cell>
          <cell r="G26">
            <v>100</v>
          </cell>
          <cell r="H26">
            <v>5</v>
          </cell>
        </row>
        <row r="27">
          <cell r="B27" t="str">
            <v>Inaguduru UPS</v>
          </cell>
          <cell r="C27">
            <v>3</v>
          </cell>
          <cell r="D27">
            <v>3</v>
          </cell>
          <cell r="E27">
            <v>0</v>
          </cell>
          <cell r="F27">
            <v>0</v>
          </cell>
          <cell r="G27">
            <v>100</v>
          </cell>
          <cell r="H27">
            <v>5</v>
          </cell>
        </row>
        <row r="28">
          <cell r="B28" t="str">
            <v>Chilakalapudi UPS</v>
          </cell>
          <cell r="C28">
            <v>2</v>
          </cell>
          <cell r="D28">
            <v>2</v>
          </cell>
          <cell r="E28">
            <v>0</v>
          </cell>
          <cell r="F28">
            <v>0</v>
          </cell>
          <cell r="G28">
            <v>100</v>
          </cell>
          <cell r="H28">
            <v>5</v>
          </cell>
        </row>
        <row r="29">
          <cell r="B29" t="str">
            <v>Robertsonpet</v>
          </cell>
          <cell r="C29">
            <v>2</v>
          </cell>
          <cell r="D29">
            <v>2</v>
          </cell>
          <cell r="E29">
            <v>0</v>
          </cell>
          <cell r="F29">
            <v>0</v>
          </cell>
          <cell r="G29">
            <v>100</v>
          </cell>
          <cell r="H29">
            <v>5</v>
          </cell>
        </row>
        <row r="30">
          <cell r="B30" t="str">
            <v>Bantumilli</v>
          </cell>
          <cell r="C30">
            <v>2</v>
          </cell>
          <cell r="D30">
            <v>2</v>
          </cell>
          <cell r="E30">
            <v>0</v>
          </cell>
          <cell r="F30">
            <v>0</v>
          </cell>
          <cell r="G30">
            <v>100</v>
          </cell>
          <cell r="H30">
            <v>5</v>
          </cell>
        </row>
        <row r="31">
          <cell r="B31" t="str">
            <v>Guduru</v>
          </cell>
          <cell r="C31">
            <v>3</v>
          </cell>
          <cell r="D31">
            <v>3</v>
          </cell>
          <cell r="E31">
            <v>0</v>
          </cell>
          <cell r="F31">
            <v>0</v>
          </cell>
          <cell r="G31">
            <v>100</v>
          </cell>
          <cell r="H31">
            <v>5</v>
          </cell>
        </row>
        <row r="32">
          <cell r="B32" t="str">
            <v>Pedana</v>
          </cell>
          <cell r="C32">
            <v>2</v>
          </cell>
          <cell r="D32">
            <v>2</v>
          </cell>
          <cell r="E32">
            <v>0</v>
          </cell>
          <cell r="F32">
            <v>0</v>
          </cell>
          <cell r="G32">
            <v>100</v>
          </cell>
          <cell r="H32">
            <v>5</v>
          </cell>
        </row>
        <row r="33">
          <cell r="B33" t="str">
            <v>Kruthivennu</v>
          </cell>
          <cell r="C33">
            <v>2</v>
          </cell>
          <cell r="D33">
            <v>2</v>
          </cell>
          <cell r="E33">
            <v>0</v>
          </cell>
          <cell r="F33">
            <v>0</v>
          </cell>
          <cell r="G33">
            <v>100</v>
          </cell>
          <cell r="H33">
            <v>5</v>
          </cell>
        </row>
        <row r="34">
          <cell r="B34" t="str">
            <v>Bandar Taluk PS</v>
          </cell>
          <cell r="C34">
            <v>1</v>
          </cell>
          <cell r="D34">
            <v>1</v>
          </cell>
          <cell r="E34">
            <v>0</v>
          </cell>
          <cell r="F34">
            <v>0</v>
          </cell>
          <cell r="G34">
            <v>100</v>
          </cell>
          <cell r="H34">
            <v>5</v>
          </cell>
        </row>
        <row r="35">
          <cell r="B35" t="str">
            <v>Machilipatnam Town</v>
          </cell>
          <cell r="C35">
            <v>1</v>
          </cell>
          <cell r="D35">
            <v>1</v>
          </cell>
          <cell r="E35">
            <v>0</v>
          </cell>
          <cell r="F35">
            <v>0</v>
          </cell>
          <cell r="G35">
            <v>100</v>
          </cell>
          <cell r="H35">
            <v>5</v>
          </cell>
        </row>
        <row r="36">
          <cell r="B36" t="str">
            <v>Mahila UPS, Machilipatnam</v>
          </cell>
          <cell r="C36">
            <v>0</v>
          </cell>
          <cell r="D36">
            <v>0</v>
          </cell>
          <cell r="E36">
            <v>0</v>
          </cell>
          <cell r="F36">
            <v>0</v>
          </cell>
          <cell r="G36">
            <v>100</v>
          </cell>
          <cell r="H36">
            <v>5</v>
          </cell>
        </row>
        <row r="37">
          <cell r="C37">
            <v>82</v>
          </cell>
          <cell r="D37">
            <v>82</v>
          </cell>
          <cell r="E37">
            <v>5</v>
          </cell>
          <cell r="F37">
            <v>5.6372549019607838</v>
          </cell>
          <cell r="G37">
            <v>100</v>
          </cell>
          <cell r="H37">
            <v>5</v>
          </cell>
        </row>
      </sheetData>
      <sheetData sheetId="18">
        <row r="2">
          <cell r="B2" t="str">
            <v>PS</v>
          </cell>
          <cell r="C2" t="str">
            <v>Total calls Assigned to PS</v>
          </cell>
          <cell r="D2" t="str">
            <v>No. of Calls Assigned to Tabs by PS</v>
          </cell>
          <cell r="E2" t="str">
            <v>No. of Calls not Assigned to Tabs by PS</v>
          </cell>
          <cell r="F2" t="str">
            <v xml:space="preserve"> Average Response Time
(HH:MM:SS)</v>
          </cell>
          <cell r="G2" t="str">
            <v>Raw Value</v>
          </cell>
          <cell r="H2" t="str">
            <v>Marks</v>
          </cell>
        </row>
        <row r="3">
          <cell r="B3" t="str">
            <v>Nagayalanka</v>
          </cell>
          <cell r="C3">
            <v>1</v>
          </cell>
          <cell r="D3">
            <v>1</v>
          </cell>
          <cell r="E3">
            <v>0</v>
          </cell>
          <cell r="F3" t="str">
            <v>00.00.44</v>
          </cell>
          <cell r="G3">
            <v>96.371882086167801</v>
          </cell>
          <cell r="H3">
            <v>4.8185941043083904</v>
          </cell>
        </row>
        <row r="4">
          <cell r="B4" t="str">
            <v>Avanigadda</v>
          </cell>
          <cell r="C4">
            <v>20</v>
          </cell>
          <cell r="D4">
            <v>20</v>
          </cell>
          <cell r="E4">
            <v>0</v>
          </cell>
          <cell r="F4" t="str">
            <v>00.03.13</v>
          </cell>
          <cell r="G4">
            <v>62.585034013605444</v>
          </cell>
          <cell r="H4">
            <v>3.1292517006802725</v>
          </cell>
        </row>
        <row r="5">
          <cell r="B5" t="str">
            <v>Koduru</v>
          </cell>
          <cell r="C5">
            <v>38</v>
          </cell>
          <cell r="D5">
            <v>38</v>
          </cell>
          <cell r="E5">
            <v>0</v>
          </cell>
          <cell r="F5" t="str">
            <v>00.02.57</v>
          </cell>
          <cell r="G5">
            <v>66.213151927437636</v>
          </cell>
          <cell r="H5">
            <v>3.3106575963718821</v>
          </cell>
        </row>
        <row r="6">
          <cell r="B6" t="str">
            <v>Challapalli</v>
          </cell>
          <cell r="C6">
            <v>0</v>
          </cell>
          <cell r="D6">
            <v>0</v>
          </cell>
          <cell r="E6">
            <v>0</v>
          </cell>
          <cell r="F6" t="str">
            <v>00.00.00</v>
          </cell>
          <cell r="G6">
            <v>50</v>
          </cell>
          <cell r="H6">
            <v>2.5</v>
          </cell>
        </row>
        <row r="7">
          <cell r="B7" t="str">
            <v>Ghantasala</v>
          </cell>
          <cell r="C7">
            <v>15</v>
          </cell>
          <cell r="D7">
            <v>15</v>
          </cell>
          <cell r="E7">
            <v>0</v>
          </cell>
          <cell r="F7" t="str">
            <v>00.03.37</v>
          </cell>
          <cell r="G7">
            <v>57.142857142857139</v>
          </cell>
          <cell r="H7">
            <v>2.8571428571428572</v>
          </cell>
        </row>
        <row r="8">
          <cell r="B8" t="str">
            <v>Gudivada I Town UPS</v>
          </cell>
          <cell r="C8">
            <v>7</v>
          </cell>
          <cell r="D8">
            <v>7</v>
          </cell>
          <cell r="E8">
            <v>0</v>
          </cell>
          <cell r="F8" t="str">
            <v>00.02.19</v>
          </cell>
          <cell r="G8">
            <v>74.829931972789112</v>
          </cell>
          <cell r="H8">
            <v>3.7414965986394559</v>
          </cell>
        </row>
        <row r="9">
          <cell r="B9" t="str">
            <v>Gudivada II Town UPS</v>
          </cell>
          <cell r="C9">
            <v>3</v>
          </cell>
          <cell r="D9">
            <v>3</v>
          </cell>
          <cell r="E9">
            <v>0</v>
          </cell>
          <cell r="F9" t="str">
            <v>00.02.16</v>
          </cell>
          <cell r="G9">
            <v>75.510204081632651</v>
          </cell>
          <cell r="H9">
            <v>3.7755102040816326</v>
          </cell>
        </row>
        <row r="10">
          <cell r="B10" t="str">
            <v>Nandivada</v>
          </cell>
          <cell r="C10">
            <v>10</v>
          </cell>
          <cell r="D10">
            <v>10</v>
          </cell>
          <cell r="E10">
            <v>0</v>
          </cell>
          <cell r="F10" t="str">
            <v>00.05.16</v>
          </cell>
          <cell r="G10">
            <v>34.693877551020407</v>
          </cell>
          <cell r="H10">
            <v>1.7346938775510203</v>
          </cell>
        </row>
        <row r="11">
          <cell r="B11" t="str">
            <v>Gudivada Rural</v>
          </cell>
          <cell r="C11">
            <v>5</v>
          </cell>
          <cell r="D11">
            <v>5</v>
          </cell>
          <cell r="E11">
            <v>0</v>
          </cell>
          <cell r="F11" t="str">
            <v>00.02.10</v>
          </cell>
          <cell r="G11">
            <v>76.870748299319729</v>
          </cell>
          <cell r="H11">
            <v>3.8435374149659864</v>
          </cell>
        </row>
        <row r="12">
          <cell r="B12" t="str">
            <v>Gudlavalleru</v>
          </cell>
          <cell r="C12">
            <v>0</v>
          </cell>
          <cell r="D12">
            <v>0</v>
          </cell>
          <cell r="E12">
            <v>0</v>
          </cell>
          <cell r="F12" t="str">
            <v>00.00.00</v>
          </cell>
          <cell r="G12">
            <v>50</v>
          </cell>
          <cell r="H12">
            <v>2.5</v>
          </cell>
        </row>
        <row r="13">
          <cell r="B13" t="str">
            <v>Pedaparupudi</v>
          </cell>
          <cell r="C13">
            <v>1</v>
          </cell>
          <cell r="D13">
            <v>1</v>
          </cell>
          <cell r="E13">
            <v>0</v>
          </cell>
          <cell r="F13" t="str">
            <v>00.04.17</v>
          </cell>
          <cell r="G13">
            <v>48.072562358276642</v>
          </cell>
          <cell r="H13">
            <v>2.4036281179138324</v>
          </cell>
        </row>
        <row r="14">
          <cell r="B14" t="str">
            <v>Pamarru</v>
          </cell>
          <cell r="C14">
            <v>4</v>
          </cell>
          <cell r="D14">
            <v>4</v>
          </cell>
          <cell r="E14">
            <v>0</v>
          </cell>
          <cell r="F14" t="str">
            <v>00.06.43</v>
          </cell>
          <cell r="G14">
            <v>14.965986394557817</v>
          </cell>
          <cell r="H14">
            <v>0.74829931972789088</v>
          </cell>
        </row>
        <row r="15">
          <cell r="B15" t="str">
            <v>Kuchipudi</v>
          </cell>
          <cell r="C15">
            <v>12</v>
          </cell>
          <cell r="D15">
            <v>12</v>
          </cell>
          <cell r="E15">
            <v>0</v>
          </cell>
          <cell r="F15" t="str">
            <v>00.02.22</v>
          </cell>
          <cell r="G15">
            <v>74.149659863945573</v>
          </cell>
          <cell r="H15">
            <v>3.7074829931972788</v>
          </cell>
        </row>
        <row r="16">
          <cell r="B16" t="str">
            <v>Thotlavalluru</v>
          </cell>
          <cell r="C16">
            <v>5</v>
          </cell>
          <cell r="D16">
            <v>5</v>
          </cell>
          <cell r="E16">
            <v>0</v>
          </cell>
          <cell r="F16" t="str">
            <v>00.04.03</v>
          </cell>
          <cell r="G16">
            <v>51.247165532879812</v>
          </cell>
          <cell r="H16">
            <v>2.562358276643991</v>
          </cell>
        </row>
        <row r="17">
          <cell r="B17" t="str">
            <v>Pamidimukkala</v>
          </cell>
          <cell r="C17">
            <v>2</v>
          </cell>
          <cell r="D17">
            <v>2</v>
          </cell>
          <cell r="E17">
            <v>0</v>
          </cell>
          <cell r="F17" t="str">
            <v>00.00.28</v>
          </cell>
          <cell r="G17">
            <v>100</v>
          </cell>
          <cell r="H17">
            <v>5</v>
          </cell>
        </row>
        <row r="18">
          <cell r="B18" t="str">
            <v>Vuyyuru Town UPS</v>
          </cell>
          <cell r="C18">
            <v>0</v>
          </cell>
          <cell r="D18">
            <v>0</v>
          </cell>
          <cell r="E18">
            <v>0</v>
          </cell>
          <cell r="F18" t="str">
            <v>00.00.00</v>
          </cell>
          <cell r="G18">
            <v>50</v>
          </cell>
          <cell r="H18">
            <v>2.5</v>
          </cell>
        </row>
        <row r="19">
          <cell r="B19" t="str">
            <v>Penamaluru UPS</v>
          </cell>
          <cell r="C19">
            <v>4</v>
          </cell>
          <cell r="D19">
            <v>4</v>
          </cell>
          <cell r="E19">
            <v>0</v>
          </cell>
          <cell r="F19" t="str">
            <v>00.02.45</v>
          </cell>
          <cell r="G19">
            <v>68.934240362811792</v>
          </cell>
          <cell r="H19">
            <v>3.4467120181405897</v>
          </cell>
        </row>
        <row r="20">
          <cell r="B20" t="str">
            <v>Gannavaram UPS</v>
          </cell>
          <cell r="C20">
            <v>7</v>
          </cell>
          <cell r="D20">
            <v>7</v>
          </cell>
          <cell r="E20">
            <v>0</v>
          </cell>
          <cell r="F20" t="str">
            <v>00.02.08</v>
          </cell>
          <cell r="G20">
            <v>77.32426303854875</v>
          </cell>
          <cell r="H20">
            <v>3.8662131519274379</v>
          </cell>
        </row>
        <row r="21">
          <cell r="B21" t="str">
            <v>Unguturu</v>
          </cell>
          <cell r="C21">
            <v>9</v>
          </cell>
          <cell r="D21">
            <v>9</v>
          </cell>
          <cell r="E21">
            <v>0</v>
          </cell>
          <cell r="F21" t="str">
            <v>00.01.06</v>
          </cell>
          <cell r="G21">
            <v>91.383219954648524</v>
          </cell>
          <cell r="H21">
            <v>4.5691609977324266</v>
          </cell>
        </row>
        <row r="22">
          <cell r="B22" t="str">
            <v>Hanuman Junction</v>
          </cell>
          <cell r="C22">
            <v>3</v>
          </cell>
          <cell r="D22">
            <v>3</v>
          </cell>
          <cell r="E22">
            <v>0</v>
          </cell>
          <cell r="F22" t="str">
            <v>00.01.03</v>
          </cell>
          <cell r="G22">
            <v>92.063492063492063</v>
          </cell>
          <cell r="H22">
            <v>4.6031746031746037</v>
          </cell>
        </row>
        <row r="23">
          <cell r="B23" t="str">
            <v>Atkuru</v>
          </cell>
          <cell r="C23">
            <v>15</v>
          </cell>
          <cell r="D23">
            <v>15</v>
          </cell>
          <cell r="E23">
            <v>0</v>
          </cell>
          <cell r="F23" t="str">
            <v>00.02.41</v>
          </cell>
          <cell r="G23">
            <v>69.841269841269849</v>
          </cell>
          <cell r="H23">
            <v>3.4920634920634925</v>
          </cell>
        </row>
        <row r="24">
          <cell r="B24" t="str">
            <v>Veeravalli</v>
          </cell>
          <cell r="C24">
            <v>6</v>
          </cell>
          <cell r="D24">
            <v>6</v>
          </cell>
          <cell r="E24">
            <v>0</v>
          </cell>
          <cell r="F24" t="str">
            <v>00.03.44</v>
          </cell>
          <cell r="G24">
            <v>55.55555555555555</v>
          </cell>
          <cell r="H24">
            <v>2.7777777777777777</v>
          </cell>
        </row>
        <row r="25">
          <cell r="B25" t="str">
            <v>Vuyyuru Rural</v>
          </cell>
          <cell r="C25">
            <v>18</v>
          </cell>
          <cell r="D25">
            <v>18</v>
          </cell>
          <cell r="E25">
            <v>0</v>
          </cell>
          <cell r="F25" t="str">
            <v>00.05.17</v>
          </cell>
          <cell r="G25">
            <v>34.467120181405903</v>
          </cell>
          <cell r="H25">
            <v>1.7233560090702953</v>
          </cell>
        </row>
        <row r="26">
          <cell r="B26" t="str">
            <v>Kankipadu</v>
          </cell>
          <cell r="C26">
            <v>22</v>
          </cell>
          <cell r="D26">
            <v>22</v>
          </cell>
          <cell r="E26">
            <v>0</v>
          </cell>
          <cell r="F26" t="str">
            <v>00.02.03</v>
          </cell>
          <cell r="G26">
            <v>78.458049886621311</v>
          </cell>
          <cell r="H26">
            <v>3.9229024943310655</v>
          </cell>
        </row>
        <row r="27">
          <cell r="B27" t="str">
            <v>Inaguduru UPS</v>
          </cell>
          <cell r="C27">
            <v>3</v>
          </cell>
          <cell r="D27">
            <v>3</v>
          </cell>
          <cell r="E27">
            <v>0</v>
          </cell>
          <cell r="F27" t="str">
            <v>00.03.48</v>
          </cell>
          <cell r="G27">
            <v>54.648526077097507</v>
          </cell>
          <cell r="H27">
            <v>2.7324263038548757</v>
          </cell>
        </row>
        <row r="28">
          <cell r="B28" t="str">
            <v>Chilakalapudi UPS</v>
          </cell>
          <cell r="C28">
            <v>2</v>
          </cell>
          <cell r="D28">
            <v>2</v>
          </cell>
          <cell r="E28">
            <v>0</v>
          </cell>
          <cell r="F28" t="str">
            <v>00.03.07</v>
          </cell>
          <cell r="G28">
            <v>63.945578231292515</v>
          </cell>
          <cell r="H28">
            <v>3.1972789115646258</v>
          </cell>
        </row>
        <row r="29">
          <cell r="B29" t="str">
            <v>Robertsonpet</v>
          </cell>
          <cell r="C29">
            <v>4</v>
          </cell>
          <cell r="D29">
            <v>4</v>
          </cell>
          <cell r="E29">
            <v>0</v>
          </cell>
          <cell r="F29" t="str">
            <v>00.03.16</v>
          </cell>
          <cell r="G29">
            <v>61.904761904761898</v>
          </cell>
          <cell r="H29">
            <v>3.0952380952380949</v>
          </cell>
        </row>
        <row r="30">
          <cell r="B30" t="str">
            <v>Bantumilli</v>
          </cell>
          <cell r="C30">
            <v>2</v>
          </cell>
          <cell r="D30">
            <v>2</v>
          </cell>
          <cell r="E30">
            <v>0</v>
          </cell>
          <cell r="F30" t="str">
            <v>00.03.05</v>
          </cell>
          <cell r="G30">
            <v>64.399092970521536</v>
          </cell>
          <cell r="H30">
            <v>3.2199546485260768</v>
          </cell>
        </row>
        <row r="31">
          <cell r="B31" t="str">
            <v>Guduru</v>
          </cell>
          <cell r="C31">
            <v>15</v>
          </cell>
          <cell r="D31">
            <v>15</v>
          </cell>
          <cell r="E31">
            <v>0</v>
          </cell>
          <cell r="F31" t="str">
            <v>00.02.44</v>
          </cell>
          <cell r="G31">
            <v>69.16099773242631</v>
          </cell>
          <cell r="H31">
            <v>3.4580498866213158</v>
          </cell>
        </row>
        <row r="32">
          <cell r="B32" t="str">
            <v>Pedana</v>
          </cell>
          <cell r="C32">
            <v>6</v>
          </cell>
          <cell r="D32">
            <v>6</v>
          </cell>
          <cell r="E32">
            <v>0</v>
          </cell>
          <cell r="F32" t="str">
            <v>00.07.49</v>
          </cell>
          <cell r="G32">
            <v>0</v>
          </cell>
          <cell r="H32">
            <v>0</v>
          </cell>
        </row>
        <row r="33">
          <cell r="B33" t="str">
            <v>Kruthivennu</v>
          </cell>
          <cell r="C33">
            <v>5</v>
          </cell>
          <cell r="D33">
            <v>5</v>
          </cell>
          <cell r="E33">
            <v>0</v>
          </cell>
          <cell r="F33" t="str">
            <v>00.03.53</v>
          </cell>
          <cell r="G33">
            <v>53.51473922902494</v>
          </cell>
          <cell r="H33">
            <v>2.6757369614512472</v>
          </cell>
        </row>
        <row r="34">
          <cell r="B34" t="str">
            <v>Bandar Taluk PS</v>
          </cell>
          <cell r="C34">
            <v>5</v>
          </cell>
          <cell r="D34">
            <v>5</v>
          </cell>
          <cell r="E34">
            <v>0</v>
          </cell>
          <cell r="F34" t="str">
            <v>00.02.19</v>
          </cell>
          <cell r="G34">
            <v>74.829931972789112</v>
          </cell>
          <cell r="H34">
            <v>3.7414965986394559</v>
          </cell>
        </row>
        <row r="35">
          <cell r="B35" t="str">
            <v>Machilipatnam Town</v>
          </cell>
          <cell r="C35">
            <v>0</v>
          </cell>
          <cell r="D35">
            <v>0</v>
          </cell>
          <cell r="E35">
            <v>0</v>
          </cell>
          <cell r="F35">
            <v>0</v>
          </cell>
          <cell r="G35">
            <v>50</v>
          </cell>
          <cell r="H35">
            <v>2.5</v>
          </cell>
        </row>
        <row r="36">
          <cell r="B36" t="str">
            <v>Mahila UPS, Machilipatnam</v>
          </cell>
          <cell r="C36">
            <v>0</v>
          </cell>
          <cell r="D36">
            <v>0</v>
          </cell>
          <cell r="E36">
            <v>0</v>
          </cell>
          <cell r="F36">
            <v>0</v>
          </cell>
          <cell r="G36">
            <v>50</v>
          </cell>
          <cell r="H36">
            <v>2.5</v>
          </cell>
        </row>
        <row r="37">
          <cell r="C37">
            <v>278</v>
          </cell>
          <cell r="D37">
            <v>278</v>
          </cell>
          <cell r="E37">
            <v>0</v>
          </cell>
          <cell r="F37">
            <v>4.3828295206971681E-3</v>
          </cell>
          <cell r="G37" t="e">
            <v>#DIV/0!</v>
          </cell>
          <cell r="H37">
            <v>3.4914422571411872</v>
          </cell>
        </row>
      </sheetData>
      <sheetData sheetId="19">
        <row r="2">
          <cell r="B2" t="str">
            <v>PS</v>
          </cell>
          <cell r="C2">
            <v>46281</v>
          </cell>
          <cell r="E2">
            <v>46282</v>
          </cell>
          <cell r="G2">
            <v>46283</v>
          </cell>
          <cell r="I2">
            <v>46284</v>
          </cell>
          <cell r="K2">
            <v>46285</v>
          </cell>
          <cell r="M2">
            <v>46286</v>
          </cell>
          <cell r="O2">
            <v>46287</v>
          </cell>
          <cell r="Q2" t="str">
            <v>MARKS</v>
          </cell>
          <cell r="R2" t="str">
            <v>RAW VALUE</v>
          </cell>
        </row>
        <row r="3">
          <cell r="C3" t="str">
            <v>WEB</v>
          </cell>
          <cell r="D3" t="str">
            <v>MOBILE</v>
          </cell>
          <cell r="E3" t="str">
            <v>WEB</v>
          </cell>
          <cell r="F3" t="str">
            <v>MOBILE</v>
          </cell>
          <cell r="G3" t="str">
            <v>WEB</v>
          </cell>
          <cell r="H3" t="str">
            <v>MOBILE</v>
          </cell>
          <cell r="I3" t="str">
            <v>WEB</v>
          </cell>
          <cell r="J3" t="str">
            <v>MOBILE</v>
          </cell>
          <cell r="K3" t="str">
            <v>WEB</v>
          </cell>
          <cell r="L3" t="str">
            <v>MOBILE</v>
          </cell>
          <cell r="M3" t="str">
            <v>WEB</v>
          </cell>
          <cell r="N3" t="str">
            <v>MOBILE</v>
          </cell>
          <cell r="O3" t="str">
            <v>WEB</v>
          </cell>
          <cell r="P3" t="str">
            <v>MOBILE</v>
          </cell>
        </row>
        <row r="4">
          <cell r="B4" t="str">
            <v>Nagayalanka</v>
          </cell>
          <cell r="E4">
            <v>1</v>
          </cell>
          <cell r="F4">
            <v>1</v>
          </cell>
          <cell r="K4">
            <v>1</v>
          </cell>
          <cell r="O4">
            <v>1</v>
          </cell>
          <cell r="Q4">
            <v>1.4285714285714286</v>
          </cell>
          <cell r="R4">
            <v>28.571428571428569</v>
          </cell>
        </row>
        <row r="5">
          <cell r="B5" t="str">
            <v>Avanigadda</v>
          </cell>
          <cell r="C5">
            <v>1</v>
          </cell>
          <cell r="G5">
            <v>1</v>
          </cell>
          <cell r="O5">
            <v>1</v>
          </cell>
          <cell r="Q5">
            <v>1.0714285714285714</v>
          </cell>
          <cell r="R5">
            <v>21.428571428571427</v>
          </cell>
        </row>
        <row r="6">
          <cell r="B6" t="str">
            <v>Koduru</v>
          </cell>
          <cell r="E6">
            <v>1</v>
          </cell>
          <cell r="G6">
            <v>1</v>
          </cell>
          <cell r="Q6">
            <v>0.7142857142857143</v>
          </cell>
          <cell r="R6">
            <v>14.285714285714285</v>
          </cell>
        </row>
        <row r="7">
          <cell r="B7" t="str">
            <v>Challapalli</v>
          </cell>
          <cell r="Q7">
            <v>0</v>
          </cell>
          <cell r="R7">
            <v>0</v>
          </cell>
        </row>
        <row r="8">
          <cell r="B8" t="str">
            <v>Ghantasala</v>
          </cell>
          <cell r="K8">
            <v>1</v>
          </cell>
          <cell r="Q8">
            <v>0.35714285714285715</v>
          </cell>
          <cell r="R8">
            <v>7.1428571428571423</v>
          </cell>
        </row>
        <row r="9">
          <cell r="B9" t="str">
            <v>Gudivada I Town UPS</v>
          </cell>
          <cell r="C9">
            <v>1</v>
          </cell>
          <cell r="G9">
            <v>2</v>
          </cell>
          <cell r="Q9">
            <v>0.7142857142857143</v>
          </cell>
          <cell r="R9">
            <v>14.285714285714285</v>
          </cell>
        </row>
        <row r="10">
          <cell r="B10" t="str">
            <v>Gudivada II Town UPS</v>
          </cell>
          <cell r="C10">
            <v>1</v>
          </cell>
          <cell r="E10">
            <v>1</v>
          </cell>
          <cell r="Q10">
            <v>0.7142857142857143</v>
          </cell>
          <cell r="R10">
            <v>14.285714285714285</v>
          </cell>
        </row>
        <row r="11">
          <cell r="B11" t="str">
            <v>Nandivada</v>
          </cell>
          <cell r="E11">
            <v>1</v>
          </cell>
          <cell r="K11">
            <v>2</v>
          </cell>
          <cell r="M11">
            <v>1</v>
          </cell>
          <cell r="Q11">
            <v>1.0714285714285714</v>
          </cell>
          <cell r="R11">
            <v>21.428571428571427</v>
          </cell>
        </row>
        <row r="12">
          <cell r="B12" t="str">
            <v>Gudivada Rural</v>
          </cell>
          <cell r="G12">
            <v>1</v>
          </cell>
          <cell r="O12">
            <v>2</v>
          </cell>
          <cell r="P12">
            <v>1</v>
          </cell>
          <cell r="Q12">
            <v>1.0714285714285714</v>
          </cell>
          <cell r="R12">
            <v>21.428571428571427</v>
          </cell>
        </row>
        <row r="13">
          <cell r="B13" t="str">
            <v>Gudlavalleru</v>
          </cell>
          <cell r="Q13">
            <v>0</v>
          </cell>
          <cell r="R13">
            <v>0</v>
          </cell>
        </row>
        <row r="14">
          <cell r="B14" t="str">
            <v>Pedaparupudi</v>
          </cell>
          <cell r="M14">
            <v>1</v>
          </cell>
          <cell r="Q14">
            <v>0.35714285714285715</v>
          </cell>
          <cell r="R14">
            <v>7.1428571428571423</v>
          </cell>
        </row>
        <row r="15">
          <cell r="B15" t="str">
            <v>Pamarru</v>
          </cell>
          <cell r="O15">
            <v>1</v>
          </cell>
          <cell r="Q15">
            <v>0.35714285714285715</v>
          </cell>
          <cell r="R15">
            <v>7.1428571428571423</v>
          </cell>
        </row>
        <row r="16">
          <cell r="B16" t="str">
            <v>Kuchipudi</v>
          </cell>
          <cell r="H16">
            <v>1</v>
          </cell>
          <cell r="Q16">
            <v>0.35714285714285715</v>
          </cell>
          <cell r="R16">
            <v>7.1428571428571423</v>
          </cell>
        </row>
        <row r="17">
          <cell r="B17" t="str">
            <v>Thotlavalluru</v>
          </cell>
          <cell r="K17">
            <v>1</v>
          </cell>
          <cell r="M17">
            <v>2</v>
          </cell>
          <cell r="Q17">
            <v>0.7142857142857143</v>
          </cell>
          <cell r="R17">
            <v>14.285714285714285</v>
          </cell>
        </row>
        <row r="18">
          <cell r="B18" t="str">
            <v>Pamidimukkala</v>
          </cell>
          <cell r="M18">
            <v>1</v>
          </cell>
          <cell r="Q18">
            <v>0.35714285714285715</v>
          </cell>
          <cell r="R18">
            <v>7.1428571428571423</v>
          </cell>
        </row>
        <row r="19">
          <cell r="B19" t="str">
            <v>Vuyyuru Town UPS</v>
          </cell>
          <cell r="C19">
            <v>1</v>
          </cell>
          <cell r="I19">
            <v>1</v>
          </cell>
          <cell r="Q19">
            <v>0.7142857142857143</v>
          </cell>
          <cell r="R19">
            <v>14.285714285714285</v>
          </cell>
        </row>
        <row r="20">
          <cell r="B20" t="str">
            <v>Penamaluru UPS</v>
          </cell>
          <cell r="C20">
            <v>2</v>
          </cell>
          <cell r="D20">
            <v>1</v>
          </cell>
          <cell r="E20">
            <v>2</v>
          </cell>
          <cell r="G20">
            <v>4</v>
          </cell>
          <cell r="H20">
            <v>1</v>
          </cell>
          <cell r="I20">
            <v>2</v>
          </cell>
          <cell r="K20">
            <v>1</v>
          </cell>
          <cell r="M20">
            <v>4</v>
          </cell>
          <cell r="O20">
            <v>2</v>
          </cell>
          <cell r="Q20">
            <v>3.2142857142857144</v>
          </cell>
          <cell r="R20">
            <v>64.285714285714292</v>
          </cell>
        </row>
        <row r="21">
          <cell r="B21" t="str">
            <v>Gannavaram UPS</v>
          </cell>
          <cell r="C21">
            <v>2</v>
          </cell>
          <cell r="E21">
            <v>1</v>
          </cell>
          <cell r="I21">
            <v>1</v>
          </cell>
          <cell r="K21">
            <v>1</v>
          </cell>
          <cell r="M21">
            <v>1</v>
          </cell>
          <cell r="P21">
            <v>1</v>
          </cell>
          <cell r="Q21">
            <v>2.1428571428571428</v>
          </cell>
          <cell r="R21">
            <v>42.857142857142854</v>
          </cell>
        </row>
        <row r="22">
          <cell r="B22" t="str">
            <v>Unguturu</v>
          </cell>
          <cell r="H22">
            <v>1</v>
          </cell>
          <cell r="Q22">
            <v>0.35714285714285715</v>
          </cell>
          <cell r="R22">
            <v>7.1428571428571423</v>
          </cell>
        </row>
        <row r="23">
          <cell r="B23" t="str">
            <v>Hanuman Junction</v>
          </cell>
          <cell r="E23">
            <v>1</v>
          </cell>
          <cell r="F23">
            <v>1</v>
          </cell>
          <cell r="M23">
            <v>1</v>
          </cell>
          <cell r="Q23">
            <v>1.0714285714285714</v>
          </cell>
          <cell r="R23">
            <v>21.428571428571427</v>
          </cell>
        </row>
        <row r="24">
          <cell r="B24" t="str">
            <v>Atkuru</v>
          </cell>
          <cell r="E24">
            <v>1</v>
          </cell>
          <cell r="Q24">
            <v>0.35714285714285715</v>
          </cell>
          <cell r="R24">
            <v>7.1428571428571423</v>
          </cell>
        </row>
        <row r="25">
          <cell r="B25" t="str">
            <v>Veeravalli</v>
          </cell>
          <cell r="F25">
            <v>1</v>
          </cell>
          <cell r="Q25">
            <v>0.35714285714285715</v>
          </cell>
          <cell r="R25">
            <v>7.1428571428571423</v>
          </cell>
        </row>
        <row r="26">
          <cell r="B26" t="str">
            <v>Vuyyuru Rural</v>
          </cell>
          <cell r="M26">
            <v>2</v>
          </cell>
          <cell r="Q26">
            <v>0.35714285714285715</v>
          </cell>
          <cell r="R26">
            <v>7.1428571428571423</v>
          </cell>
        </row>
        <row r="27">
          <cell r="B27" t="str">
            <v>Kankipadu</v>
          </cell>
          <cell r="C27">
            <v>1</v>
          </cell>
          <cell r="Q27">
            <v>0.35714285714285715</v>
          </cell>
          <cell r="R27">
            <v>7.1428571428571423</v>
          </cell>
        </row>
        <row r="28">
          <cell r="B28" t="str">
            <v>Inaguduru UPS</v>
          </cell>
          <cell r="G28">
            <v>2</v>
          </cell>
          <cell r="M28">
            <v>1</v>
          </cell>
          <cell r="Q28">
            <v>0.7142857142857143</v>
          </cell>
          <cell r="R28">
            <v>14.285714285714285</v>
          </cell>
        </row>
        <row r="29">
          <cell r="B29" t="str">
            <v>Chilakalapudi UPS</v>
          </cell>
          <cell r="I29">
            <v>1</v>
          </cell>
          <cell r="M29">
            <v>1</v>
          </cell>
          <cell r="N29">
            <v>1</v>
          </cell>
          <cell r="Q29">
            <v>1.0714285714285714</v>
          </cell>
          <cell r="R29">
            <v>21.428571428571427</v>
          </cell>
        </row>
        <row r="30">
          <cell r="B30" t="str">
            <v>Robertsonpet</v>
          </cell>
          <cell r="I30">
            <v>2</v>
          </cell>
          <cell r="M30">
            <v>3</v>
          </cell>
          <cell r="Q30">
            <v>0.7142857142857143</v>
          </cell>
          <cell r="R30">
            <v>14.285714285714285</v>
          </cell>
        </row>
        <row r="31">
          <cell r="B31" t="str">
            <v>Bantumilli</v>
          </cell>
          <cell r="C31">
            <v>3</v>
          </cell>
          <cell r="E31">
            <v>1</v>
          </cell>
          <cell r="G31">
            <v>2</v>
          </cell>
          <cell r="I31">
            <v>4</v>
          </cell>
          <cell r="K31">
            <v>2</v>
          </cell>
          <cell r="M31">
            <v>1</v>
          </cell>
          <cell r="N31">
            <v>1</v>
          </cell>
          <cell r="Q31">
            <v>2.5</v>
          </cell>
          <cell r="R31">
            <v>50</v>
          </cell>
        </row>
        <row r="32">
          <cell r="B32" t="str">
            <v>Guduru</v>
          </cell>
          <cell r="O32">
            <v>1</v>
          </cell>
          <cell r="Q32">
            <v>0.35714285714285715</v>
          </cell>
          <cell r="R32">
            <v>7.1428571428571423</v>
          </cell>
        </row>
        <row r="33">
          <cell r="B33" t="str">
            <v>Pedana</v>
          </cell>
          <cell r="Q33">
            <v>0</v>
          </cell>
          <cell r="R33">
            <v>0</v>
          </cell>
        </row>
        <row r="34">
          <cell r="B34" t="str">
            <v>Kruthivennu</v>
          </cell>
          <cell r="O34">
            <v>1</v>
          </cell>
          <cell r="Q34">
            <v>0.35714285714285715</v>
          </cell>
          <cell r="R34">
            <v>7.1428571428571423</v>
          </cell>
        </row>
        <row r="35">
          <cell r="B35" t="str">
            <v>Bandar Taluk PS</v>
          </cell>
          <cell r="G35">
            <v>4</v>
          </cell>
          <cell r="I35">
            <v>1</v>
          </cell>
          <cell r="Q35">
            <v>0.7142857142857143</v>
          </cell>
          <cell r="R35">
            <v>14.285714285714285</v>
          </cell>
        </row>
        <row r="36">
          <cell r="B36" t="str">
            <v>Machilipatnam Town</v>
          </cell>
          <cell r="E36">
            <v>3</v>
          </cell>
          <cell r="G36">
            <v>3</v>
          </cell>
          <cell r="I36">
            <v>4</v>
          </cell>
          <cell r="L36">
            <v>1</v>
          </cell>
          <cell r="M36">
            <v>2</v>
          </cell>
          <cell r="Q36">
            <v>1.7857142857142858</v>
          </cell>
          <cell r="R36">
            <v>35.714285714285715</v>
          </cell>
        </row>
        <row r="37">
          <cell r="B37" t="str">
            <v>Mahila UPS, Machilipatnam</v>
          </cell>
          <cell r="Q37">
            <v>0</v>
          </cell>
          <cell r="R37">
            <v>0</v>
          </cell>
        </row>
        <row r="38">
          <cell r="C38">
            <v>12</v>
          </cell>
          <cell r="D38">
            <v>1</v>
          </cell>
          <cell r="E38">
            <v>13</v>
          </cell>
          <cell r="F38">
            <v>3</v>
          </cell>
          <cell r="G38">
            <v>20</v>
          </cell>
          <cell r="H38">
            <v>3</v>
          </cell>
          <cell r="I38">
            <v>16</v>
          </cell>
          <cell r="J38">
            <v>0</v>
          </cell>
          <cell r="K38">
            <v>9</v>
          </cell>
          <cell r="L38">
            <v>1</v>
          </cell>
          <cell r="M38">
            <v>21</v>
          </cell>
          <cell r="N38">
            <v>2</v>
          </cell>
          <cell r="O38">
            <v>9</v>
          </cell>
          <cell r="P38">
            <v>2</v>
          </cell>
          <cell r="Q38">
            <v>0.77731092436974802</v>
          </cell>
          <cell r="R38">
            <v>15.546218487394961</v>
          </cell>
        </row>
      </sheetData>
      <sheetData sheetId="20">
        <row r="2">
          <cell r="B2" t="str">
            <v>PS NAME</v>
          </cell>
          <cell r="C2" t="str">
            <v>Raw Value</v>
          </cell>
          <cell r="D2" t="str">
            <v>Marks
(5%)</v>
          </cell>
        </row>
        <row r="3">
          <cell r="B3" t="str">
            <v>Nagayalanka</v>
          </cell>
          <cell r="C3">
            <v>0</v>
          </cell>
          <cell r="D3">
            <v>0</v>
          </cell>
        </row>
        <row r="4">
          <cell r="B4" t="str">
            <v>Avanigadda</v>
          </cell>
          <cell r="C4">
            <v>0</v>
          </cell>
          <cell r="D4">
            <v>0</v>
          </cell>
        </row>
        <row r="5">
          <cell r="B5" t="str">
            <v>Koduru</v>
          </cell>
          <cell r="C5">
            <v>0</v>
          </cell>
          <cell r="D5">
            <v>0</v>
          </cell>
        </row>
        <row r="6">
          <cell r="B6" t="str">
            <v>Challapalli</v>
          </cell>
          <cell r="C6">
            <v>0</v>
          </cell>
          <cell r="D6">
            <v>0</v>
          </cell>
        </row>
        <row r="7">
          <cell r="B7" t="str">
            <v>Ghantasala</v>
          </cell>
          <cell r="C7">
            <v>0</v>
          </cell>
          <cell r="D7">
            <v>0</v>
          </cell>
        </row>
        <row r="8">
          <cell r="B8" t="str">
            <v>Gudivada I Town UPS</v>
          </cell>
          <cell r="C8">
            <v>0</v>
          </cell>
          <cell r="D8">
            <v>0</v>
          </cell>
        </row>
        <row r="9">
          <cell r="B9" t="str">
            <v>Gudivada II Town UPS</v>
          </cell>
          <cell r="C9">
            <v>0</v>
          </cell>
          <cell r="D9">
            <v>0</v>
          </cell>
        </row>
        <row r="10">
          <cell r="B10" t="str">
            <v>Nandivada</v>
          </cell>
          <cell r="C10">
            <v>0</v>
          </cell>
          <cell r="D10">
            <v>0</v>
          </cell>
        </row>
        <row r="11">
          <cell r="B11" t="str">
            <v>Gudivada Rural</v>
          </cell>
          <cell r="C11">
            <v>0</v>
          </cell>
          <cell r="D11">
            <v>0</v>
          </cell>
        </row>
        <row r="12">
          <cell r="B12" t="str">
            <v>Gudlavalleru</v>
          </cell>
          <cell r="C12">
            <v>0</v>
          </cell>
          <cell r="D12">
            <v>0</v>
          </cell>
        </row>
        <row r="13">
          <cell r="B13" t="str">
            <v>Pedaparupudi</v>
          </cell>
          <cell r="C13">
            <v>0</v>
          </cell>
          <cell r="D13">
            <v>0</v>
          </cell>
        </row>
        <row r="14">
          <cell r="B14" t="str">
            <v>Pamarru</v>
          </cell>
          <cell r="C14">
            <v>0</v>
          </cell>
          <cell r="D14">
            <v>0</v>
          </cell>
        </row>
        <row r="15">
          <cell r="B15" t="str">
            <v>Kuchipudi</v>
          </cell>
          <cell r="C15">
            <v>0</v>
          </cell>
          <cell r="D15">
            <v>0</v>
          </cell>
        </row>
        <row r="16">
          <cell r="B16" t="str">
            <v>Thotlavalluru</v>
          </cell>
          <cell r="C16">
            <v>0</v>
          </cell>
          <cell r="D16">
            <v>0</v>
          </cell>
        </row>
        <row r="17">
          <cell r="B17" t="str">
            <v>Pamidimukkala</v>
          </cell>
          <cell r="C17">
            <v>0</v>
          </cell>
          <cell r="D17">
            <v>0</v>
          </cell>
        </row>
        <row r="18">
          <cell r="B18" t="str">
            <v>Vuyyuru Town UPS</v>
          </cell>
          <cell r="C18">
            <v>0</v>
          </cell>
          <cell r="D18">
            <v>0</v>
          </cell>
        </row>
        <row r="19">
          <cell r="B19" t="str">
            <v>Penamaluru UPS</v>
          </cell>
          <cell r="C19">
            <v>0</v>
          </cell>
          <cell r="D19">
            <v>0</v>
          </cell>
        </row>
        <row r="20">
          <cell r="B20" t="str">
            <v>Gannavaram UPS</v>
          </cell>
          <cell r="C20">
            <v>0</v>
          </cell>
          <cell r="D20">
            <v>0</v>
          </cell>
        </row>
        <row r="21">
          <cell r="B21" t="str">
            <v>Unguturu</v>
          </cell>
          <cell r="C21">
            <v>0</v>
          </cell>
          <cell r="D21">
            <v>0</v>
          </cell>
        </row>
        <row r="22">
          <cell r="B22" t="str">
            <v>Hanuman Junction</v>
          </cell>
          <cell r="C22">
            <v>0</v>
          </cell>
          <cell r="D22">
            <v>0</v>
          </cell>
        </row>
        <row r="23">
          <cell r="B23" t="str">
            <v>Atkuru</v>
          </cell>
          <cell r="C23">
            <v>0</v>
          </cell>
          <cell r="D23">
            <v>0</v>
          </cell>
        </row>
        <row r="24">
          <cell r="B24" t="str">
            <v>Veeravalli</v>
          </cell>
          <cell r="C24">
            <v>0</v>
          </cell>
          <cell r="D24">
            <v>0</v>
          </cell>
        </row>
        <row r="25">
          <cell r="B25" t="str">
            <v>Vuyyuru Rural</v>
          </cell>
          <cell r="C25">
            <v>0</v>
          </cell>
          <cell r="D25">
            <v>0</v>
          </cell>
        </row>
        <row r="26">
          <cell r="B26" t="str">
            <v>Kankipadu</v>
          </cell>
          <cell r="C26">
            <v>0</v>
          </cell>
          <cell r="D26">
            <v>0</v>
          </cell>
        </row>
        <row r="27">
          <cell r="B27" t="str">
            <v>Inaguduru UPS</v>
          </cell>
          <cell r="C27">
            <v>0</v>
          </cell>
          <cell r="D27">
            <v>0</v>
          </cell>
        </row>
        <row r="28">
          <cell r="B28" t="str">
            <v>Chilakalapudi UPS</v>
          </cell>
          <cell r="C28">
            <v>0</v>
          </cell>
          <cell r="D28">
            <v>0</v>
          </cell>
        </row>
        <row r="29">
          <cell r="B29" t="str">
            <v>Robertsonpet</v>
          </cell>
          <cell r="C29">
            <v>0</v>
          </cell>
          <cell r="D29">
            <v>0</v>
          </cell>
        </row>
        <row r="30">
          <cell r="B30" t="str">
            <v>Bantumilli</v>
          </cell>
          <cell r="C30">
            <v>0</v>
          </cell>
          <cell r="D30">
            <v>0</v>
          </cell>
        </row>
        <row r="31">
          <cell r="B31" t="str">
            <v>Guduru</v>
          </cell>
          <cell r="C31">
            <v>0</v>
          </cell>
          <cell r="D31">
            <v>0</v>
          </cell>
        </row>
        <row r="32">
          <cell r="B32" t="str">
            <v>Pedana</v>
          </cell>
          <cell r="C32">
            <v>0</v>
          </cell>
          <cell r="D32">
            <v>0</v>
          </cell>
        </row>
        <row r="33">
          <cell r="B33" t="str">
            <v>Kruthivennu</v>
          </cell>
          <cell r="C33">
            <v>0</v>
          </cell>
          <cell r="D33">
            <v>0</v>
          </cell>
        </row>
        <row r="34">
          <cell r="B34" t="str">
            <v>Bandar Taluk PS</v>
          </cell>
          <cell r="C34">
            <v>0</v>
          </cell>
          <cell r="D34">
            <v>0</v>
          </cell>
        </row>
        <row r="35">
          <cell r="B35" t="str">
            <v>Machilipatnam Town</v>
          </cell>
          <cell r="C35">
            <v>0</v>
          </cell>
          <cell r="D35">
            <v>0</v>
          </cell>
        </row>
        <row r="36">
          <cell r="B36" t="str">
            <v>Mahila UPS, Machilipatnam</v>
          </cell>
          <cell r="C36">
            <v>0</v>
          </cell>
          <cell r="D36">
            <v>0</v>
          </cell>
        </row>
        <row r="37">
          <cell r="D37">
            <v>0</v>
          </cell>
        </row>
      </sheetData>
      <sheetData sheetId="21">
        <row r="2">
          <cell r="B2" t="str">
            <v>PS NAME</v>
          </cell>
          <cell r="C2" t="str">
            <v>Total
 Cases Reported</v>
          </cell>
          <cell r="D2" t="str">
            <v>No. of cases
 eFSLcreated</v>
          </cell>
          <cell r="E2" t="str">
            <v>Raw Value</v>
          </cell>
          <cell r="F2" t="str">
            <v>Marks
(5%)</v>
          </cell>
        </row>
        <row r="3">
          <cell r="B3" t="str">
            <v>Nagayalanka</v>
          </cell>
          <cell r="C3">
            <v>1</v>
          </cell>
          <cell r="D3">
            <v>0</v>
          </cell>
          <cell r="E3">
            <v>0</v>
          </cell>
          <cell r="F3">
            <v>0</v>
          </cell>
        </row>
        <row r="4">
          <cell r="B4" t="str">
            <v>Avanigadda</v>
          </cell>
          <cell r="C4">
            <v>2</v>
          </cell>
          <cell r="D4">
            <v>0</v>
          </cell>
          <cell r="E4">
            <v>0</v>
          </cell>
          <cell r="F4">
            <v>0</v>
          </cell>
        </row>
        <row r="5">
          <cell r="B5" t="str">
            <v>Koduru</v>
          </cell>
          <cell r="C5">
            <v>0</v>
          </cell>
          <cell r="D5">
            <v>0</v>
          </cell>
          <cell r="E5">
            <v>100</v>
          </cell>
          <cell r="F5">
            <v>5</v>
          </cell>
        </row>
        <row r="6">
          <cell r="B6" t="str">
            <v>Challapalli</v>
          </cell>
          <cell r="C6">
            <v>0</v>
          </cell>
          <cell r="D6">
            <v>0</v>
          </cell>
          <cell r="E6">
            <v>100</v>
          </cell>
          <cell r="F6">
            <v>5</v>
          </cell>
        </row>
        <row r="7">
          <cell r="B7" t="str">
            <v>Ghantasala</v>
          </cell>
          <cell r="C7">
            <v>1</v>
          </cell>
          <cell r="D7">
            <v>0</v>
          </cell>
          <cell r="E7">
            <v>0</v>
          </cell>
          <cell r="F7">
            <v>0</v>
          </cell>
        </row>
        <row r="8">
          <cell r="B8" t="str">
            <v>Gudivada I Town UPS</v>
          </cell>
          <cell r="C8">
            <v>1</v>
          </cell>
          <cell r="D8">
            <v>0</v>
          </cell>
          <cell r="E8">
            <v>0</v>
          </cell>
          <cell r="F8">
            <v>0</v>
          </cell>
        </row>
        <row r="9">
          <cell r="B9" t="str">
            <v>Gudivada II Town UPS</v>
          </cell>
          <cell r="C9">
            <v>0</v>
          </cell>
          <cell r="D9">
            <v>0</v>
          </cell>
          <cell r="E9">
            <v>100</v>
          </cell>
          <cell r="F9">
            <v>5</v>
          </cell>
        </row>
        <row r="10">
          <cell r="B10" t="str">
            <v>Nandivada</v>
          </cell>
          <cell r="C10">
            <v>1</v>
          </cell>
          <cell r="D10">
            <v>0</v>
          </cell>
          <cell r="E10">
            <v>0</v>
          </cell>
          <cell r="F10">
            <v>0</v>
          </cell>
        </row>
        <row r="11">
          <cell r="B11" t="str">
            <v>Gudivada Rural</v>
          </cell>
          <cell r="C11">
            <v>2</v>
          </cell>
          <cell r="D11">
            <v>0</v>
          </cell>
          <cell r="E11">
            <v>0</v>
          </cell>
          <cell r="F11">
            <v>0</v>
          </cell>
        </row>
        <row r="12">
          <cell r="B12" t="str">
            <v>Gudlavalleru</v>
          </cell>
          <cell r="C12">
            <v>0</v>
          </cell>
          <cell r="D12">
            <v>0</v>
          </cell>
          <cell r="E12">
            <v>100</v>
          </cell>
          <cell r="F12">
            <v>5</v>
          </cell>
        </row>
        <row r="13">
          <cell r="B13" t="str">
            <v>Pedaparupudi</v>
          </cell>
          <cell r="C13">
            <v>0</v>
          </cell>
          <cell r="D13">
            <v>0</v>
          </cell>
          <cell r="E13">
            <v>100</v>
          </cell>
          <cell r="F13">
            <v>5</v>
          </cell>
        </row>
        <row r="14">
          <cell r="B14" t="str">
            <v>Pamarru</v>
          </cell>
          <cell r="C14">
            <v>1</v>
          </cell>
          <cell r="D14">
            <v>0</v>
          </cell>
          <cell r="E14">
            <v>0</v>
          </cell>
          <cell r="F14">
            <v>0</v>
          </cell>
        </row>
        <row r="15">
          <cell r="B15" t="str">
            <v>Kuchipudi</v>
          </cell>
          <cell r="C15">
            <v>0</v>
          </cell>
          <cell r="D15">
            <v>0</v>
          </cell>
          <cell r="E15">
            <v>100</v>
          </cell>
          <cell r="F15">
            <v>5</v>
          </cell>
        </row>
        <row r="16">
          <cell r="B16" t="str">
            <v>Thotlavalluru</v>
          </cell>
          <cell r="C16">
            <v>2</v>
          </cell>
          <cell r="D16">
            <v>1</v>
          </cell>
          <cell r="E16">
            <v>50</v>
          </cell>
          <cell r="F16">
            <v>2.5</v>
          </cell>
        </row>
        <row r="17">
          <cell r="B17" t="str">
            <v>Pamidimukkala</v>
          </cell>
          <cell r="C17">
            <v>1</v>
          </cell>
          <cell r="D17">
            <v>0</v>
          </cell>
          <cell r="E17">
            <v>0</v>
          </cell>
          <cell r="F17">
            <v>0</v>
          </cell>
        </row>
        <row r="18">
          <cell r="B18" t="str">
            <v>Vuyyuru Town UPS</v>
          </cell>
          <cell r="C18">
            <v>1</v>
          </cell>
          <cell r="D18">
            <v>0</v>
          </cell>
          <cell r="E18">
            <v>0</v>
          </cell>
          <cell r="F18">
            <v>0</v>
          </cell>
        </row>
        <row r="19">
          <cell r="B19" t="str">
            <v>Penamaluru UPS</v>
          </cell>
          <cell r="C19">
            <v>1</v>
          </cell>
          <cell r="D19">
            <v>1</v>
          </cell>
          <cell r="E19">
            <v>100</v>
          </cell>
          <cell r="F19">
            <v>5</v>
          </cell>
        </row>
        <row r="20">
          <cell r="B20" t="str">
            <v>Gannavaram UPS</v>
          </cell>
          <cell r="C20">
            <v>1</v>
          </cell>
          <cell r="D20">
            <v>0</v>
          </cell>
          <cell r="E20">
            <v>0</v>
          </cell>
          <cell r="F20">
            <v>0</v>
          </cell>
        </row>
        <row r="21">
          <cell r="B21" t="str">
            <v>Unguturu</v>
          </cell>
          <cell r="C21">
            <v>0</v>
          </cell>
          <cell r="D21">
            <v>0</v>
          </cell>
          <cell r="E21">
            <v>100</v>
          </cell>
          <cell r="F21">
            <v>5</v>
          </cell>
        </row>
        <row r="22">
          <cell r="B22" t="str">
            <v>Hanuman Junction</v>
          </cell>
          <cell r="C22">
            <v>1</v>
          </cell>
          <cell r="D22">
            <v>0</v>
          </cell>
          <cell r="E22">
            <v>0</v>
          </cell>
          <cell r="F22">
            <v>0</v>
          </cell>
        </row>
        <row r="23">
          <cell r="B23" t="str">
            <v>Atkuru</v>
          </cell>
          <cell r="C23">
            <v>0</v>
          </cell>
          <cell r="D23">
            <v>0</v>
          </cell>
          <cell r="E23">
            <v>100</v>
          </cell>
          <cell r="F23">
            <v>5</v>
          </cell>
        </row>
        <row r="24">
          <cell r="B24" t="str">
            <v>Veeravalli</v>
          </cell>
          <cell r="C24">
            <v>1</v>
          </cell>
          <cell r="D24">
            <v>0</v>
          </cell>
          <cell r="E24">
            <v>0</v>
          </cell>
          <cell r="F24">
            <v>0</v>
          </cell>
        </row>
        <row r="25">
          <cell r="B25" t="str">
            <v>Vuyyuru Rural</v>
          </cell>
          <cell r="C25">
            <v>0</v>
          </cell>
          <cell r="D25">
            <v>0</v>
          </cell>
          <cell r="E25">
            <v>100</v>
          </cell>
          <cell r="F25">
            <v>5</v>
          </cell>
        </row>
        <row r="26">
          <cell r="B26" t="str">
            <v>Kankipadu</v>
          </cell>
          <cell r="C26">
            <v>1</v>
          </cell>
          <cell r="D26">
            <v>1</v>
          </cell>
          <cell r="E26">
            <v>100</v>
          </cell>
          <cell r="F26">
            <v>5</v>
          </cell>
        </row>
        <row r="27">
          <cell r="B27" t="str">
            <v>Inaguduru UPS</v>
          </cell>
          <cell r="C27">
            <v>1</v>
          </cell>
          <cell r="D27">
            <v>1</v>
          </cell>
          <cell r="E27">
            <v>100</v>
          </cell>
          <cell r="F27">
            <v>5</v>
          </cell>
        </row>
        <row r="28">
          <cell r="B28" t="str">
            <v>Chilakalapudi UPS</v>
          </cell>
          <cell r="C28">
            <v>1</v>
          </cell>
          <cell r="D28">
            <v>0</v>
          </cell>
          <cell r="E28">
            <v>0</v>
          </cell>
          <cell r="F28">
            <v>0</v>
          </cell>
        </row>
        <row r="29">
          <cell r="B29" t="str">
            <v>Robertsonpet</v>
          </cell>
          <cell r="C29">
            <v>0</v>
          </cell>
          <cell r="D29">
            <v>0</v>
          </cell>
          <cell r="E29">
            <v>100</v>
          </cell>
          <cell r="F29">
            <v>5</v>
          </cell>
        </row>
        <row r="30">
          <cell r="B30" t="str">
            <v>Bantumilli</v>
          </cell>
          <cell r="C30">
            <v>0</v>
          </cell>
          <cell r="D30">
            <v>0</v>
          </cell>
          <cell r="E30">
            <v>100</v>
          </cell>
          <cell r="F30">
            <v>5</v>
          </cell>
        </row>
        <row r="31">
          <cell r="B31" t="str">
            <v>Guduru</v>
          </cell>
          <cell r="C31">
            <v>1</v>
          </cell>
          <cell r="D31">
            <v>0</v>
          </cell>
          <cell r="E31">
            <v>0</v>
          </cell>
          <cell r="F31">
            <v>0</v>
          </cell>
        </row>
        <row r="32">
          <cell r="B32" t="str">
            <v>Pedana</v>
          </cell>
          <cell r="C32">
            <v>0</v>
          </cell>
          <cell r="D32">
            <v>0</v>
          </cell>
          <cell r="E32">
            <v>100</v>
          </cell>
          <cell r="F32">
            <v>5</v>
          </cell>
        </row>
        <row r="33">
          <cell r="B33" t="str">
            <v>Kruthivennu</v>
          </cell>
          <cell r="C33">
            <v>0</v>
          </cell>
          <cell r="D33">
            <v>0</v>
          </cell>
          <cell r="E33">
            <v>100</v>
          </cell>
          <cell r="F33">
            <v>5</v>
          </cell>
        </row>
        <row r="34">
          <cell r="B34" t="str">
            <v>Bandar Taluk PS</v>
          </cell>
          <cell r="C34">
            <v>1</v>
          </cell>
          <cell r="D34">
            <v>0</v>
          </cell>
          <cell r="E34">
            <v>0</v>
          </cell>
          <cell r="F34">
            <v>0</v>
          </cell>
        </row>
        <row r="35">
          <cell r="B35" t="str">
            <v>Machilipatnam Town</v>
          </cell>
          <cell r="C35">
            <v>1</v>
          </cell>
          <cell r="D35">
            <v>0</v>
          </cell>
          <cell r="E35">
            <v>0</v>
          </cell>
          <cell r="F35">
            <v>0</v>
          </cell>
        </row>
        <row r="36">
          <cell r="B36" t="str">
            <v>Mahila UPS, Machilipatnam</v>
          </cell>
          <cell r="C36">
            <v>0</v>
          </cell>
          <cell r="D36">
            <v>0</v>
          </cell>
          <cell r="E36">
            <v>100</v>
          </cell>
          <cell r="F36">
            <v>5</v>
          </cell>
        </row>
        <row r="37">
          <cell r="E37">
            <v>100</v>
          </cell>
          <cell r="F37">
            <v>0</v>
          </cell>
        </row>
      </sheetData>
      <sheetData sheetId="22">
        <row r="2">
          <cell r="B2" t="str">
            <v>PS NAME</v>
          </cell>
          <cell r="C2" t="str">
            <v>Raw Value</v>
          </cell>
          <cell r="D2" t="str">
            <v>Marks
(2.5%)</v>
          </cell>
        </row>
        <row r="3">
          <cell r="B3" t="str">
            <v>Nagayalanka</v>
          </cell>
          <cell r="C3">
            <v>0</v>
          </cell>
          <cell r="D3">
            <v>0</v>
          </cell>
        </row>
        <row r="4">
          <cell r="B4" t="str">
            <v>Avanigadda</v>
          </cell>
          <cell r="C4">
            <v>0</v>
          </cell>
          <cell r="D4">
            <v>0</v>
          </cell>
        </row>
        <row r="5">
          <cell r="B5" t="str">
            <v>Koduru</v>
          </cell>
          <cell r="C5">
            <v>0</v>
          </cell>
          <cell r="D5">
            <v>0</v>
          </cell>
        </row>
        <row r="6">
          <cell r="B6" t="str">
            <v>Challapalli</v>
          </cell>
          <cell r="C6">
            <v>0</v>
          </cell>
          <cell r="D6">
            <v>0</v>
          </cell>
        </row>
        <row r="7">
          <cell r="B7" t="str">
            <v>Ghantasala</v>
          </cell>
          <cell r="C7">
            <v>0</v>
          </cell>
          <cell r="D7">
            <v>0</v>
          </cell>
        </row>
        <row r="8">
          <cell r="B8" t="str">
            <v>Gudivada I Town UPS</v>
          </cell>
          <cell r="C8">
            <v>0</v>
          </cell>
          <cell r="D8">
            <v>0</v>
          </cell>
        </row>
        <row r="9">
          <cell r="B9" t="str">
            <v>Gudivada II Town UPS</v>
          </cell>
          <cell r="C9">
            <v>0</v>
          </cell>
          <cell r="D9">
            <v>0</v>
          </cell>
        </row>
        <row r="10">
          <cell r="B10" t="str">
            <v>Nandivada</v>
          </cell>
          <cell r="C10">
            <v>0</v>
          </cell>
          <cell r="D10">
            <v>0</v>
          </cell>
        </row>
        <row r="11">
          <cell r="B11" t="str">
            <v>Gudivada Rural</v>
          </cell>
          <cell r="C11">
            <v>0</v>
          </cell>
          <cell r="D11">
            <v>0</v>
          </cell>
        </row>
        <row r="12">
          <cell r="B12" t="str">
            <v>Gudlavalleru</v>
          </cell>
          <cell r="C12">
            <v>0</v>
          </cell>
          <cell r="D12">
            <v>0</v>
          </cell>
        </row>
        <row r="13">
          <cell r="B13" t="str">
            <v>Pedaparupudi</v>
          </cell>
          <cell r="C13">
            <v>0</v>
          </cell>
          <cell r="D13">
            <v>0</v>
          </cell>
        </row>
        <row r="14">
          <cell r="B14" t="str">
            <v>Pamarru</v>
          </cell>
          <cell r="C14">
            <v>0</v>
          </cell>
          <cell r="D14">
            <v>0</v>
          </cell>
        </row>
        <row r="15">
          <cell r="B15" t="str">
            <v>Kuchipudi</v>
          </cell>
          <cell r="C15">
            <v>0</v>
          </cell>
          <cell r="D15">
            <v>0</v>
          </cell>
        </row>
        <row r="16">
          <cell r="B16" t="str">
            <v>Thotlavalluru</v>
          </cell>
          <cell r="C16">
            <v>0</v>
          </cell>
          <cell r="D16">
            <v>0</v>
          </cell>
        </row>
        <row r="17">
          <cell r="B17" t="str">
            <v>Pamidimukkala</v>
          </cell>
          <cell r="C17">
            <v>0</v>
          </cell>
          <cell r="D17">
            <v>0</v>
          </cell>
        </row>
        <row r="18">
          <cell r="B18" t="str">
            <v>Vuyyuru Town UPS</v>
          </cell>
          <cell r="C18">
            <v>0</v>
          </cell>
          <cell r="D18">
            <v>0</v>
          </cell>
        </row>
        <row r="19">
          <cell r="B19" t="str">
            <v>Penamaluru UPS</v>
          </cell>
          <cell r="C19">
            <v>0</v>
          </cell>
          <cell r="D19">
            <v>0</v>
          </cell>
        </row>
        <row r="20">
          <cell r="B20" t="str">
            <v>Gannavaram UPS</v>
          </cell>
          <cell r="C20">
            <v>0</v>
          </cell>
          <cell r="D20">
            <v>0</v>
          </cell>
        </row>
        <row r="21">
          <cell r="B21" t="str">
            <v>Unguturu</v>
          </cell>
          <cell r="C21">
            <v>0</v>
          </cell>
          <cell r="D21">
            <v>0</v>
          </cell>
        </row>
        <row r="22">
          <cell r="B22" t="str">
            <v>Hanuman Junction</v>
          </cell>
          <cell r="C22">
            <v>0</v>
          </cell>
          <cell r="D22">
            <v>0</v>
          </cell>
        </row>
        <row r="23">
          <cell r="B23" t="str">
            <v>Atkuru</v>
          </cell>
          <cell r="C23">
            <v>0</v>
          </cell>
          <cell r="D23">
            <v>0</v>
          </cell>
        </row>
        <row r="24">
          <cell r="B24" t="str">
            <v>Veeravalli</v>
          </cell>
          <cell r="C24">
            <v>0</v>
          </cell>
          <cell r="D24">
            <v>0</v>
          </cell>
        </row>
        <row r="25">
          <cell r="B25" t="str">
            <v>Vuyyuru Rural</v>
          </cell>
          <cell r="C25">
            <v>0</v>
          </cell>
          <cell r="D25">
            <v>0</v>
          </cell>
        </row>
        <row r="26">
          <cell r="B26" t="str">
            <v>Kankipadu</v>
          </cell>
          <cell r="C26">
            <v>0</v>
          </cell>
          <cell r="D26">
            <v>0</v>
          </cell>
        </row>
        <row r="27">
          <cell r="B27" t="str">
            <v>Inaguduru UPS</v>
          </cell>
          <cell r="C27">
            <v>0</v>
          </cell>
          <cell r="D27">
            <v>0</v>
          </cell>
        </row>
        <row r="28">
          <cell r="B28" t="str">
            <v>Chilakalapudi UPS</v>
          </cell>
          <cell r="C28">
            <v>0</v>
          </cell>
          <cell r="D28">
            <v>0</v>
          </cell>
        </row>
        <row r="29">
          <cell r="B29" t="str">
            <v>Robertsonpet</v>
          </cell>
          <cell r="C29">
            <v>0</v>
          </cell>
          <cell r="D29">
            <v>0</v>
          </cell>
        </row>
        <row r="30">
          <cell r="B30" t="str">
            <v>Bantumilli</v>
          </cell>
          <cell r="C30">
            <v>0</v>
          </cell>
          <cell r="D30">
            <v>0</v>
          </cell>
        </row>
        <row r="31">
          <cell r="B31" t="str">
            <v>Guduru</v>
          </cell>
          <cell r="C31">
            <v>0</v>
          </cell>
          <cell r="D31">
            <v>0</v>
          </cell>
        </row>
        <row r="32">
          <cell r="B32" t="str">
            <v>Pedana</v>
          </cell>
          <cell r="C32">
            <v>0</v>
          </cell>
          <cell r="D32">
            <v>0</v>
          </cell>
        </row>
        <row r="33">
          <cell r="B33" t="str">
            <v>Kruthivennu</v>
          </cell>
          <cell r="C33">
            <v>0</v>
          </cell>
          <cell r="D33">
            <v>0</v>
          </cell>
        </row>
        <row r="34">
          <cell r="B34" t="str">
            <v>Bandar Taluk PS</v>
          </cell>
          <cell r="C34">
            <v>0</v>
          </cell>
          <cell r="D34">
            <v>0</v>
          </cell>
        </row>
        <row r="35">
          <cell r="B35" t="str">
            <v>Machilipatnam Town</v>
          </cell>
          <cell r="C35">
            <v>0</v>
          </cell>
          <cell r="D35">
            <v>0</v>
          </cell>
        </row>
        <row r="36">
          <cell r="B36" t="str">
            <v>Mahila UPS, Machilipatnam</v>
          </cell>
          <cell r="C36">
            <v>0</v>
          </cell>
          <cell r="D36">
            <v>0</v>
          </cell>
        </row>
        <row r="37">
          <cell r="D37">
            <v>0</v>
          </cell>
        </row>
      </sheetData>
      <sheetData sheetId="23">
        <row r="2">
          <cell r="B2" t="str">
            <v>PS NAME</v>
          </cell>
          <cell r="C2" t="str">
            <v>Raw Value</v>
          </cell>
          <cell r="D2" t="str">
            <v>Marks
(2.5%)</v>
          </cell>
        </row>
        <row r="3">
          <cell r="B3" t="str">
            <v>Nagayalanka</v>
          </cell>
          <cell r="C3">
            <v>0</v>
          </cell>
          <cell r="D3">
            <v>0</v>
          </cell>
        </row>
        <row r="4">
          <cell r="B4" t="str">
            <v>Avanigadda</v>
          </cell>
          <cell r="C4">
            <v>0</v>
          </cell>
          <cell r="D4">
            <v>0</v>
          </cell>
        </row>
        <row r="5">
          <cell r="B5" t="str">
            <v>Koduru</v>
          </cell>
          <cell r="C5">
            <v>0</v>
          </cell>
          <cell r="D5">
            <v>0</v>
          </cell>
        </row>
        <row r="6">
          <cell r="B6" t="str">
            <v>Challapalli</v>
          </cell>
          <cell r="C6">
            <v>0</v>
          </cell>
          <cell r="D6">
            <v>0</v>
          </cell>
        </row>
        <row r="7">
          <cell r="B7" t="str">
            <v>Ghantasala</v>
          </cell>
          <cell r="C7">
            <v>0</v>
          </cell>
          <cell r="D7">
            <v>0</v>
          </cell>
        </row>
        <row r="8">
          <cell r="B8" t="str">
            <v>Gudivada I Town UPS</v>
          </cell>
          <cell r="C8">
            <v>0</v>
          </cell>
          <cell r="D8">
            <v>0</v>
          </cell>
        </row>
        <row r="9">
          <cell r="B9" t="str">
            <v>Gudivada II Town UPS</v>
          </cell>
          <cell r="C9">
            <v>0</v>
          </cell>
          <cell r="D9">
            <v>0</v>
          </cell>
        </row>
        <row r="10">
          <cell r="B10" t="str">
            <v>Nandivada</v>
          </cell>
          <cell r="C10">
            <v>0</v>
          </cell>
          <cell r="D10">
            <v>0</v>
          </cell>
        </row>
        <row r="11">
          <cell r="B11" t="str">
            <v>Gudivada Rural</v>
          </cell>
          <cell r="C11">
            <v>0</v>
          </cell>
          <cell r="D11">
            <v>0</v>
          </cell>
        </row>
        <row r="12">
          <cell r="B12" t="str">
            <v>Gudlavalleru</v>
          </cell>
          <cell r="C12">
            <v>0</v>
          </cell>
          <cell r="D12">
            <v>0</v>
          </cell>
        </row>
        <row r="13">
          <cell r="B13" t="str">
            <v>Pedaparupudi</v>
          </cell>
          <cell r="C13">
            <v>0</v>
          </cell>
          <cell r="D13">
            <v>0</v>
          </cell>
        </row>
        <row r="14">
          <cell r="B14" t="str">
            <v>Pamarru</v>
          </cell>
          <cell r="C14">
            <v>0</v>
          </cell>
          <cell r="D14">
            <v>0</v>
          </cell>
        </row>
        <row r="15">
          <cell r="B15" t="str">
            <v>Kuchipudi</v>
          </cell>
          <cell r="C15">
            <v>0</v>
          </cell>
          <cell r="D15">
            <v>0</v>
          </cell>
        </row>
        <row r="16">
          <cell r="B16" t="str">
            <v>Thotlavalluru</v>
          </cell>
          <cell r="C16">
            <v>0</v>
          </cell>
          <cell r="D16">
            <v>0</v>
          </cell>
        </row>
        <row r="17">
          <cell r="B17" t="str">
            <v>Pamidimukkala</v>
          </cell>
          <cell r="C17">
            <v>0</v>
          </cell>
          <cell r="D17">
            <v>0</v>
          </cell>
        </row>
        <row r="18">
          <cell r="B18" t="str">
            <v>Vuyyuru Town UPS</v>
          </cell>
          <cell r="C18">
            <v>0</v>
          </cell>
          <cell r="D18">
            <v>0</v>
          </cell>
        </row>
        <row r="19">
          <cell r="B19" t="str">
            <v>Penamaluru UPS</v>
          </cell>
          <cell r="C19">
            <v>0</v>
          </cell>
          <cell r="D19">
            <v>0</v>
          </cell>
        </row>
        <row r="20">
          <cell r="B20" t="str">
            <v>Gannavaram UPS</v>
          </cell>
          <cell r="C20">
            <v>0</v>
          </cell>
          <cell r="D20">
            <v>0</v>
          </cell>
        </row>
        <row r="21">
          <cell r="B21" t="str">
            <v>Unguturu</v>
          </cell>
          <cell r="C21">
            <v>0</v>
          </cell>
          <cell r="D21">
            <v>0</v>
          </cell>
        </row>
        <row r="22">
          <cell r="B22" t="str">
            <v>Hanuman Junction</v>
          </cell>
          <cell r="C22">
            <v>0</v>
          </cell>
          <cell r="D22">
            <v>0</v>
          </cell>
        </row>
        <row r="23">
          <cell r="B23" t="str">
            <v>Atkuru</v>
          </cell>
          <cell r="C23">
            <v>0</v>
          </cell>
          <cell r="D23">
            <v>0</v>
          </cell>
        </row>
        <row r="24">
          <cell r="B24" t="str">
            <v>Veeravalli</v>
          </cell>
          <cell r="C24">
            <v>0</v>
          </cell>
          <cell r="D24">
            <v>0</v>
          </cell>
        </row>
        <row r="25">
          <cell r="B25" t="str">
            <v>Vuyyuru Rural</v>
          </cell>
          <cell r="C25">
            <v>0</v>
          </cell>
          <cell r="D25">
            <v>0</v>
          </cell>
        </row>
        <row r="26">
          <cell r="B26" t="str">
            <v>Kankipadu</v>
          </cell>
          <cell r="C26">
            <v>0</v>
          </cell>
          <cell r="D26">
            <v>0</v>
          </cell>
        </row>
        <row r="27">
          <cell r="B27" t="str">
            <v>Inaguduru UPS</v>
          </cell>
          <cell r="C27">
            <v>0</v>
          </cell>
          <cell r="D27">
            <v>0</v>
          </cell>
        </row>
        <row r="28">
          <cell r="B28" t="str">
            <v>Chilakalapudi UPS</v>
          </cell>
          <cell r="C28">
            <v>0</v>
          </cell>
          <cell r="D28">
            <v>0</v>
          </cell>
        </row>
        <row r="29">
          <cell r="B29" t="str">
            <v>Robertsonpet</v>
          </cell>
          <cell r="C29">
            <v>0</v>
          </cell>
          <cell r="D29">
            <v>0</v>
          </cell>
        </row>
        <row r="30">
          <cell r="B30" t="str">
            <v>Bantumilli</v>
          </cell>
          <cell r="C30">
            <v>0</v>
          </cell>
          <cell r="D30">
            <v>0</v>
          </cell>
        </row>
        <row r="31">
          <cell r="B31" t="str">
            <v>Guduru</v>
          </cell>
          <cell r="C31">
            <v>0</v>
          </cell>
          <cell r="D31">
            <v>0</v>
          </cell>
        </row>
        <row r="32">
          <cell r="B32" t="str">
            <v>Pedana</v>
          </cell>
          <cell r="C32">
            <v>0</v>
          </cell>
          <cell r="D32">
            <v>0</v>
          </cell>
        </row>
        <row r="33">
          <cell r="B33" t="str">
            <v>Kruthivennu</v>
          </cell>
          <cell r="C33">
            <v>0</v>
          </cell>
          <cell r="D33">
            <v>0</v>
          </cell>
        </row>
        <row r="34">
          <cell r="B34" t="str">
            <v>Bandar Taluk PS</v>
          </cell>
          <cell r="C34">
            <v>0</v>
          </cell>
          <cell r="D34">
            <v>0</v>
          </cell>
        </row>
        <row r="35">
          <cell r="B35" t="str">
            <v>Machilipatnam Town</v>
          </cell>
          <cell r="C35">
            <v>0</v>
          </cell>
          <cell r="D35">
            <v>0</v>
          </cell>
        </row>
        <row r="36">
          <cell r="B36" t="str">
            <v>Mahila UPS, Machilipatnam</v>
          </cell>
          <cell r="C36">
            <v>0</v>
          </cell>
          <cell r="D36">
            <v>0</v>
          </cell>
        </row>
        <row r="37">
          <cell r="D37">
            <v>0</v>
          </cell>
        </row>
      </sheetData>
      <sheetData sheetId="2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63690F-339F-4AEB-8A22-594C05B25C54}">
  <sheetPr>
    <tabColor rgb="FF00B0F0"/>
    <pageSetUpPr fitToPage="1"/>
  </sheetPr>
  <dimension ref="A1:Y36"/>
  <sheetViews>
    <sheetView tabSelected="1" workbookViewId="0">
      <pane ySplit="2" topLeftCell="A21" activePane="bottomLeft" state="frozen"/>
      <selection pane="bottomLeft" activeCell="H3" sqref="H3"/>
    </sheetView>
  </sheetViews>
  <sheetFormatPr defaultRowHeight="15" x14ac:dyDescent="0.25"/>
  <cols>
    <col min="1" max="1" width="23.5703125" customWidth="1"/>
    <col min="2" max="13" width="7" style="10" customWidth="1"/>
    <col min="14" max="14" width="7.85546875" style="10" customWidth="1"/>
    <col min="15" max="25" width="7" style="10" customWidth="1"/>
  </cols>
  <sheetData>
    <row r="1" spans="1:25" ht="84.6" customHeight="1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</row>
    <row r="2" spans="1:25" ht="13.9" customHeight="1" x14ac:dyDescent="0.25">
      <c r="A2" s="4" t="s">
        <v>25</v>
      </c>
      <c r="B2" s="5">
        <v>2.5000000000000001E-2</v>
      </c>
      <c r="C2" s="5">
        <v>2.5000000000000001E-2</v>
      </c>
      <c r="D2" s="6">
        <v>0.05</v>
      </c>
      <c r="E2" s="5">
        <v>2.5000000000000001E-2</v>
      </c>
      <c r="F2" s="5">
        <v>2.5000000000000001E-2</v>
      </c>
      <c r="G2" s="5">
        <v>2.5000000000000001E-2</v>
      </c>
      <c r="H2" s="5">
        <v>2.5000000000000001E-2</v>
      </c>
      <c r="I2" s="6">
        <v>0.05</v>
      </c>
      <c r="J2" s="6">
        <v>0.05</v>
      </c>
      <c r="K2" s="6">
        <v>0.05</v>
      </c>
      <c r="L2" s="6">
        <v>0.05</v>
      </c>
      <c r="M2" s="6">
        <v>0.05</v>
      </c>
      <c r="N2" s="6">
        <v>0.05</v>
      </c>
      <c r="O2" s="6">
        <v>0.05</v>
      </c>
      <c r="P2" s="6">
        <v>0.05</v>
      </c>
      <c r="Q2" s="6">
        <v>0.05</v>
      </c>
      <c r="R2" s="6">
        <v>0.05</v>
      </c>
      <c r="S2" s="6">
        <v>0.05</v>
      </c>
      <c r="T2" s="6">
        <v>0.05</v>
      </c>
      <c r="U2" s="6">
        <v>0.05</v>
      </c>
      <c r="V2" s="6">
        <v>0.05</v>
      </c>
      <c r="W2" s="6">
        <v>0.05</v>
      </c>
      <c r="X2" s="5">
        <v>2.5000000000000001E-2</v>
      </c>
      <c r="Y2" s="5">
        <v>2.5000000000000001E-2</v>
      </c>
    </row>
    <row r="3" spans="1:25" s="9" customFormat="1" ht="25.9" customHeight="1" x14ac:dyDescent="0.25">
      <c r="A3" s="7" t="s">
        <v>26</v>
      </c>
      <c r="B3" s="8">
        <f>VLOOKUP(A3,'[1]1_MEDLEAPR_PME'!B:H,6,0)</f>
        <v>100</v>
      </c>
      <c r="C3" s="8" t="str">
        <f>VLOOKUP(A3,'[1]2_MEDLEAPR_MLC'!B:I,6,0)</f>
        <v>100.00</v>
      </c>
      <c r="D3" s="8">
        <f>VLOOKUP(A3,'[1]3_NATGRID'!B:H,6,0)</f>
        <v>0</v>
      </c>
      <c r="E3" s="8">
        <f>VLOOKUP(A3,'[1]4_DGP_DASH'!B:E,3,0)</f>
        <v>100</v>
      </c>
      <c r="F3" s="8">
        <f>VLOOKUP(A3,'[1]5_CCTNS_TILL'!B:P,13,0)</f>
        <v>100</v>
      </c>
      <c r="G3" s="8">
        <f>VLOOKUP(A3,'[1]6_CCTNS_1_7'!B:P,13,0)</f>
        <v>100</v>
      </c>
      <c r="H3" s="8">
        <f>VLOOKUP(A3,'[1]7_CCTNS_8_15'!B$2:M36,11,0)</f>
        <v>0</v>
      </c>
      <c r="I3" s="8">
        <f>VLOOKUP(A3,'[1]8_ZERO_FIRS'!B:H,6,0)</f>
        <v>100</v>
      </c>
      <c r="J3" s="8">
        <f>VLOOKUP(A3,'[1]9_CITIZEN_PORTAL'!B:H,6,0)</f>
        <v>100</v>
      </c>
      <c r="K3" s="8">
        <f>VLOOKUP(A3,'[1]10_ESAKSHYA'!B:L,6,0)</f>
        <v>69.7594501718213</v>
      </c>
      <c r="L3" s="8">
        <f>VLOOKUP(A3,'[1]11_CRIMAC'!B:F,4,0)</f>
        <v>100</v>
      </c>
      <c r="M3" s="8">
        <f>VLOOKUP(A3,'[1]12_CEIR'!B:L,10,0)</f>
        <v>46.914893617021278</v>
      </c>
      <c r="N3" s="8">
        <f>VLOOKUP(A3,'[1]13_EPROSEC'!B:H,4,0)</f>
        <v>100</v>
      </c>
      <c r="O3" s="8">
        <f>VLOOKUP(A3,'[1]14_FIR_CS_COURT'!B:L,11,0)</f>
        <v>76.371343085106389</v>
      </c>
      <c r="P3" s="8">
        <f>VLOOKUP(A3,'[1]15_EOFFICE'!B:K,9,0)</f>
        <v>54.76</v>
      </c>
      <c r="Q3" s="8">
        <f>VLOOKUP(A3,'[1]16_APOLIS'!B:K,10,0)</f>
        <v>56.666666666666664</v>
      </c>
      <c r="R3" s="8">
        <f>VLOOKUP(A3,'[1]17_DRONE_FLYING'!B:J,9,0)</f>
        <v>20</v>
      </c>
      <c r="S3" s="8">
        <f>VLOOKUP(A3,'[1]18_112_TABS'!B:H,6,0)</f>
        <v>100</v>
      </c>
      <c r="T3" s="8">
        <f>VLOOKUP(A3,'[1]19_DIAL100_RES'!B:H,6,0)</f>
        <v>96.371882086167801</v>
      </c>
      <c r="U3" s="8">
        <f>VLOOKUP(A3,'[1]20_CCTV_360'!B:S,17,0)</f>
        <v>28.571428571428569</v>
      </c>
      <c r="V3" s="8">
        <f>VLOOKUP(A3,'[1]21_NEWS360AI'!B:D,2,0)</f>
        <v>0</v>
      </c>
      <c r="W3" s="8">
        <f>VLOOKUP(A3,'[1]22_eFSL'!B:F,4,0)</f>
        <v>0</v>
      </c>
      <c r="X3" s="8">
        <f>VLOOKUP(A3,'[1]23_UC3'!B:D,2,0)</f>
        <v>0</v>
      </c>
      <c r="Y3" s="8">
        <f>VLOOKUP(A3,'[1]23_UC4'!B:D,3,0)</f>
        <v>0</v>
      </c>
    </row>
    <row r="4" spans="1:25" s="9" customFormat="1" ht="25.9" customHeight="1" x14ac:dyDescent="0.25">
      <c r="A4" s="7" t="s">
        <v>27</v>
      </c>
      <c r="B4" s="8">
        <f>VLOOKUP(A4,'[1]1_MEDLEAPR_PME'!B:H,6,0)</f>
        <v>100</v>
      </c>
      <c r="C4" s="8">
        <f>VLOOKUP(A4,'[1]2_MEDLEAPR_MLC'!B:I,6,0)</f>
        <v>100</v>
      </c>
      <c r="D4" s="8">
        <f>VLOOKUP(A4,'[1]3_NATGRID'!B:H,6,0)</f>
        <v>0</v>
      </c>
      <c r="E4" s="8">
        <f>VLOOKUP(A4,'[1]4_DGP_DASH'!B:E,3,0)</f>
        <v>100</v>
      </c>
      <c r="F4" s="8">
        <f>VLOOKUP(A4,'[1]5_CCTNS_TILL'!B:P,13,0)</f>
        <v>100</v>
      </c>
      <c r="G4" s="8">
        <f>VLOOKUP(A4,'[1]6_CCTNS_1_7'!B:P,13,0)</f>
        <v>100</v>
      </c>
      <c r="H4" s="8">
        <f>VLOOKUP(A4,'[1]7_CCTNS_8_15'!B$2:M37,11,0)</f>
        <v>100</v>
      </c>
      <c r="I4" s="8">
        <f>VLOOKUP(A4,'[1]8_ZERO_FIRS'!B:H,6,0)</f>
        <v>100</v>
      </c>
      <c r="J4" s="8">
        <f>VLOOKUP(A4,'[1]9_CITIZEN_PORTAL'!B:H,6,0)</f>
        <v>100</v>
      </c>
      <c r="K4" s="8">
        <f>VLOOKUP(A4,'[1]10_ESAKSHYA'!B:L,6,0)</f>
        <v>80</v>
      </c>
      <c r="L4" s="8">
        <f>VLOOKUP(A4,'[1]11_CRIMAC'!B:F,4,0)</f>
        <v>100</v>
      </c>
      <c r="M4" s="8">
        <f>VLOOKUP(A4,'[1]12_CEIR'!B:L,10,0)</f>
        <v>70.304347826086953</v>
      </c>
      <c r="N4" s="8">
        <f>VLOOKUP(A4,'[1]13_EPROSEC'!B:H,4,0)</f>
        <v>100</v>
      </c>
      <c r="O4" s="8">
        <f>VLOOKUP(A4,'[1]14_FIR_CS_COURT'!B:L,11,0)</f>
        <v>84.681858538029005</v>
      </c>
      <c r="P4" s="8">
        <f>VLOOKUP(A4,'[1]15_EOFFICE'!B:K,9,0)</f>
        <v>0</v>
      </c>
      <c r="Q4" s="8">
        <f>VLOOKUP(A4,'[1]16_APOLIS'!B:K,10,0)</f>
        <v>48.148148148148145</v>
      </c>
      <c r="R4" s="8">
        <f>VLOOKUP(A4,'[1]17_DRONE_FLYING'!B:J,9,0)</f>
        <v>90</v>
      </c>
      <c r="S4" s="8">
        <f>VLOOKUP(A4,'[1]18_112_TABS'!B:H,6,0)</f>
        <v>100</v>
      </c>
      <c r="T4" s="8">
        <f>VLOOKUP(A4,'[1]19_DIAL100_RES'!B:H,6,0)</f>
        <v>62.585034013605444</v>
      </c>
      <c r="U4" s="8">
        <f>VLOOKUP(A4,'[1]20_CCTV_360'!B:S,17,0)</f>
        <v>21.428571428571427</v>
      </c>
      <c r="V4" s="8">
        <f>VLOOKUP(A4,'[1]21_NEWS360AI'!B:D,2,0)</f>
        <v>0</v>
      </c>
      <c r="W4" s="8">
        <f>VLOOKUP(A4,'[1]22_eFSL'!B:F,4,0)</f>
        <v>0</v>
      </c>
      <c r="X4" s="8">
        <f>VLOOKUP(A4,'[1]23_UC3'!B:D,2,0)</f>
        <v>0</v>
      </c>
      <c r="Y4" s="8">
        <f>VLOOKUP(A4,'[1]23_UC4'!B:D,3,0)</f>
        <v>0</v>
      </c>
    </row>
    <row r="5" spans="1:25" s="9" customFormat="1" ht="25.9" customHeight="1" x14ac:dyDescent="0.25">
      <c r="A5" s="7" t="s">
        <v>28</v>
      </c>
      <c r="B5" s="8">
        <f>VLOOKUP(A5,'[1]1_MEDLEAPR_PME'!B:H,6,0)</f>
        <v>100</v>
      </c>
      <c r="C5" s="8" t="str">
        <f>VLOOKUP(A5,'[1]2_MEDLEAPR_MLC'!B:I,6,0)</f>
        <v>100.00</v>
      </c>
      <c r="D5" s="8">
        <f>VLOOKUP(A5,'[1]3_NATGRID'!B:H,6,0)</f>
        <v>0</v>
      </c>
      <c r="E5" s="8">
        <f>VLOOKUP(A5,'[1]4_DGP_DASH'!B:E,3,0)</f>
        <v>100</v>
      </c>
      <c r="F5" s="8">
        <f>VLOOKUP(A5,'[1]5_CCTNS_TILL'!B:P,13,0)</f>
        <v>100</v>
      </c>
      <c r="G5" s="8">
        <f>VLOOKUP(A5,'[1]6_CCTNS_1_7'!B:P,13,0)</f>
        <v>100</v>
      </c>
      <c r="H5" s="8">
        <f>VLOOKUP(A5,'[1]7_CCTNS_8_15'!B$2:M38,11,0)</f>
        <v>0</v>
      </c>
      <c r="I5" s="8">
        <f>VLOOKUP(A5,'[1]8_ZERO_FIRS'!B:H,6,0)</f>
        <v>100</v>
      </c>
      <c r="J5" s="8">
        <f>VLOOKUP(A5,'[1]9_CITIZEN_PORTAL'!B:H,6,0)</f>
        <v>92.307692307692307</v>
      </c>
      <c r="K5" s="8">
        <f>VLOOKUP(A5,'[1]10_ESAKSHYA'!B:L,6,0)</f>
        <v>58.689458689458689</v>
      </c>
      <c r="L5" s="8">
        <f>VLOOKUP(A5,'[1]11_CRIMAC'!B:F,4,0)</f>
        <v>100</v>
      </c>
      <c r="M5" s="8">
        <f>VLOOKUP(A5,'[1]12_CEIR'!B:L,10,0)</f>
        <v>40.38461538461538</v>
      </c>
      <c r="N5" s="8">
        <f>VLOOKUP(A5,'[1]13_EPROSEC'!B:H,4,0)</f>
        <v>100</v>
      </c>
      <c r="O5" s="8">
        <f>VLOOKUP(A5,'[1]14_FIR_CS_COURT'!B:L,11,0)</f>
        <v>86.932045303131247</v>
      </c>
      <c r="P5" s="8">
        <f>VLOOKUP(A5,'[1]15_EOFFICE'!B:K,9,0)</f>
        <v>0</v>
      </c>
      <c r="Q5" s="8">
        <f>VLOOKUP(A5,'[1]16_APOLIS'!B:K,10,0)</f>
        <v>70.588235294117652</v>
      </c>
      <c r="R5" s="8">
        <f>VLOOKUP(A5,'[1]17_DRONE_FLYING'!B:J,9,0)</f>
        <v>20</v>
      </c>
      <c r="S5" s="8">
        <f>VLOOKUP(A5,'[1]18_112_TABS'!B:H,6,0)</f>
        <v>100</v>
      </c>
      <c r="T5" s="8">
        <f>VLOOKUP(A5,'[1]19_DIAL100_RES'!B:H,6,0)</f>
        <v>66.213151927437636</v>
      </c>
      <c r="U5" s="8">
        <f>VLOOKUP(A5,'[1]20_CCTV_360'!B:S,17,0)</f>
        <v>14.285714285714285</v>
      </c>
      <c r="V5" s="8">
        <f>VLOOKUP(A5,'[1]21_NEWS360AI'!B:D,2,0)</f>
        <v>0</v>
      </c>
      <c r="W5" s="8">
        <f>VLOOKUP(A5,'[1]22_eFSL'!B:F,4,0)</f>
        <v>100</v>
      </c>
      <c r="X5" s="8">
        <f>VLOOKUP(A5,'[1]23_UC3'!B:D,2,0)</f>
        <v>0</v>
      </c>
      <c r="Y5" s="8">
        <f>VLOOKUP(A5,'[1]23_UC4'!B:D,3,0)</f>
        <v>0</v>
      </c>
    </row>
    <row r="6" spans="1:25" s="9" customFormat="1" ht="25.9" customHeight="1" x14ac:dyDescent="0.25">
      <c r="A6" s="7" t="s">
        <v>29</v>
      </c>
      <c r="B6" s="8" t="str">
        <f>VLOOKUP(A6,'[1]1_MEDLEAPR_PME'!B:H,6,0)</f>
        <v>100.00</v>
      </c>
      <c r="C6" s="8">
        <f>VLOOKUP(A6,'[1]2_MEDLEAPR_MLC'!B:I,6,0)</f>
        <v>100</v>
      </c>
      <c r="D6" s="8">
        <f>VLOOKUP(A6,'[1]3_NATGRID'!B:H,6,0)</f>
        <v>0</v>
      </c>
      <c r="E6" s="8">
        <f>VLOOKUP(A6,'[1]4_DGP_DASH'!B:E,3,0)</f>
        <v>100</v>
      </c>
      <c r="F6" s="8">
        <f>VLOOKUP(A6,'[1]5_CCTNS_TILL'!B:P,13,0)</f>
        <v>99.8</v>
      </c>
      <c r="G6" s="8">
        <f>VLOOKUP(A6,'[1]6_CCTNS_1_7'!B:P,13,0)</f>
        <v>71.23</v>
      </c>
      <c r="H6" s="8">
        <f>VLOOKUP(A6,'[1]7_CCTNS_8_15'!B$2:M39,11,0)</f>
        <v>0</v>
      </c>
      <c r="I6" s="8">
        <f>VLOOKUP(A6,'[1]8_ZERO_FIRS'!B:H,6,0)</f>
        <v>100</v>
      </c>
      <c r="J6" s="8">
        <f>VLOOKUP(A6,'[1]9_CITIZEN_PORTAL'!B:H,6,0)</f>
        <v>100</v>
      </c>
      <c r="K6" s="8">
        <f>VLOOKUP(A6,'[1]10_ESAKSHYA'!B:L,6,0)</f>
        <v>48.665819567979668</v>
      </c>
      <c r="L6" s="8">
        <f>VLOOKUP(A6,'[1]11_CRIMAC'!B:F,4,0)</f>
        <v>100</v>
      </c>
      <c r="M6" s="8">
        <f>VLOOKUP(A6,'[1]12_CEIR'!B:L,10,0)</f>
        <v>36.129032258064512</v>
      </c>
      <c r="N6" s="8">
        <f>VLOOKUP(A6,'[1]13_EPROSEC'!B:H,4,0)</f>
        <v>100</v>
      </c>
      <c r="O6" s="8">
        <f>VLOOKUP(A6,'[1]14_FIR_CS_COURT'!B:L,11,0)</f>
        <v>60.966386554621849</v>
      </c>
      <c r="P6" s="8">
        <f>VLOOKUP(A6,'[1]15_EOFFICE'!B:K,9,0)</f>
        <v>57.144999999999996</v>
      </c>
      <c r="Q6" s="8">
        <f>VLOOKUP(A6,'[1]16_APOLIS'!B:K,10,0)</f>
        <v>57.5</v>
      </c>
      <c r="R6" s="8">
        <f>VLOOKUP(A6,'[1]17_DRONE_FLYING'!B:J,9,0)</f>
        <v>34</v>
      </c>
      <c r="S6" s="8">
        <f>VLOOKUP(A6,'[1]18_112_TABS'!B:H,6,0)</f>
        <v>100</v>
      </c>
      <c r="T6" s="8">
        <f>VLOOKUP(A6,'[1]19_DIAL100_RES'!B:H,6,0)</f>
        <v>50</v>
      </c>
      <c r="U6" s="8">
        <f>VLOOKUP(A6,'[1]20_CCTV_360'!B:S,17,0)</f>
        <v>0</v>
      </c>
      <c r="V6" s="8">
        <f>VLOOKUP(A6,'[1]21_NEWS360AI'!B:D,2,0)</f>
        <v>0</v>
      </c>
      <c r="W6" s="8">
        <f>VLOOKUP(A6,'[1]22_eFSL'!B:F,4,0)</f>
        <v>100</v>
      </c>
      <c r="X6" s="8">
        <f>VLOOKUP(A6,'[1]23_UC3'!B:D,2,0)</f>
        <v>0</v>
      </c>
      <c r="Y6" s="8">
        <f>VLOOKUP(A6,'[1]23_UC4'!B:D,3,0)</f>
        <v>0</v>
      </c>
    </row>
    <row r="7" spans="1:25" s="9" customFormat="1" ht="25.9" customHeight="1" x14ac:dyDescent="0.25">
      <c r="A7" s="7" t="s">
        <v>30</v>
      </c>
      <c r="B7" s="8">
        <f>VLOOKUP(A7,'[1]1_MEDLEAPR_PME'!B:H,6,0)</f>
        <v>100</v>
      </c>
      <c r="C7" s="8" t="str">
        <f>VLOOKUP(A7,'[1]2_MEDLEAPR_MLC'!B:I,6,0)</f>
        <v>100.00</v>
      </c>
      <c r="D7" s="8">
        <f>VLOOKUP(A7,'[1]3_NATGRID'!B:H,6,0)</f>
        <v>0</v>
      </c>
      <c r="E7" s="8">
        <f>VLOOKUP(A7,'[1]4_DGP_DASH'!B:E,3,0)</f>
        <v>100</v>
      </c>
      <c r="F7" s="8">
        <f>VLOOKUP(A7,'[1]5_CCTNS_TILL'!B:P,13,0)</f>
        <v>100</v>
      </c>
      <c r="G7" s="8">
        <f>VLOOKUP(A7,'[1]6_CCTNS_1_7'!B:P,13,0)</f>
        <v>100</v>
      </c>
      <c r="H7" s="8">
        <f>VLOOKUP(A7,'[1]7_CCTNS_8_15'!B$2:M40,11,0)</f>
        <v>100</v>
      </c>
      <c r="I7" s="8">
        <f>VLOOKUP(A7,'[1]8_ZERO_FIRS'!B:H,6,0)</f>
        <v>100</v>
      </c>
      <c r="J7" s="8">
        <f>VLOOKUP(A7,'[1]9_CITIZEN_PORTAL'!B:H,6,0)</f>
        <v>100</v>
      </c>
      <c r="K7" s="8">
        <f>VLOOKUP(A7,'[1]10_ESAKSHYA'!B:L,6,0)</f>
        <v>55.72755417956656</v>
      </c>
      <c r="L7" s="8">
        <f>VLOOKUP(A7,'[1]11_CRIMAC'!B:F,4,0)</f>
        <v>100</v>
      </c>
      <c r="M7" s="8">
        <f>VLOOKUP(A7,'[1]12_CEIR'!B:L,10,0)</f>
        <v>0</v>
      </c>
      <c r="N7" s="8">
        <f>VLOOKUP(A7,'[1]13_EPROSEC'!B:H,4,0)</f>
        <v>100</v>
      </c>
      <c r="O7" s="8">
        <f>VLOOKUP(A7,'[1]14_FIR_CS_COURT'!B:L,11,0)</f>
        <v>57.127305327868854</v>
      </c>
      <c r="P7" s="8">
        <f>VLOOKUP(A7,'[1]15_EOFFICE'!B:K,9,0)</f>
        <v>0</v>
      </c>
      <c r="Q7" s="8">
        <f>VLOOKUP(A7,'[1]16_APOLIS'!B:K,10,0)</f>
        <v>50</v>
      </c>
      <c r="R7" s="8">
        <f>VLOOKUP(A7,'[1]17_DRONE_FLYING'!B:J,9,0)</f>
        <v>20</v>
      </c>
      <c r="S7" s="8">
        <f>VLOOKUP(A7,'[1]18_112_TABS'!B:H,6,0)</f>
        <v>100</v>
      </c>
      <c r="T7" s="8">
        <f>VLOOKUP(A7,'[1]19_DIAL100_RES'!B:H,6,0)</f>
        <v>57.142857142857139</v>
      </c>
      <c r="U7" s="8">
        <f>VLOOKUP(A7,'[1]20_CCTV_360'!B:S,17,0)</f>
        <v>7.1428571428571423</v>
      </c>
      <c r="V7" s="8">
        <f>VLOOKUP(A7,'[1]21_NEWS360AI'!B:D,2,0)</f>
        <v>0</v>
      </c>
      <c r="W7" s="8">
        <f>VLOOKUP(A7,'[1]22_eFSL'!B:F,4,0)</f>
        <v>0</v>
      </c>
      <c r="X7" s="8">
        <f>VLOOKUP(A7,'[1]23_UC3'!B:D,2,0)</f>
        <v>0</v>
      </c>
      <c r="Y7" s="8">
        <f>VLOOKUP(A7,'[1]23_UC4'!B:D,3,0)</f>
        <v>0</v>
      </c>
    </row>
    <row r="8" spans="1:25" s="9" customFormat="1" ht="25.9" customHeight="1" x14ac:dyDescent="0.25">
      <c r="A8" s="7" t="s">
        <v>31</v>
      </c>
      <c r="B8" s="8">
        <f>VLOOKUP(A8,'[1]1_MEDLEAPR_PME'!B:H,6,0)</f>
        <v>100</v>
      </c>
      <c r="C8" s="8">
        <f>VLOOKUP(A8,'[1]2_MEDLEAPR_MLC'!B:I,6,0)</f>
        <v>100</v>
      </c>
      <c r="D8" s="8">
        <f>VLOOKUP(A8,'[1]3_NATGRID'!B:H,6,0)</f>
        <v>0</v>
      </c>
      <c r="E8" s="8">
        <f>VLOOKUP(A8,'[1]4_DGP_DASH'!B:E,3,0)</f>
        <v>100</v>
      </c>
      <c r="F8" s="8">
        <f>VLOOKUP(A8,'[1]5_CCTNS_TILL'!B:P,13,0)</f>
        <v>100</v>
      </c>
      <c r="G8" s="8">
        <f>VLOOKUP(A8,'[1]6_CCTNS_1_7'!B:P,13,0)</f>
        <v>100</v>
      </c>
      <c r="H8" s="8">
        <f>VLOOKUP(A8,'[1]7_CCTNS_8_15'!B$2:M41,11,0)</f>
        <v>0</v>
      </c>
      <c r="I8" s="8">
        <f>VLOOKUP(A8,'[1]8_ZERO_FIRS'!B:H,6,0)</f>
        <v>100</v>
      </c>
      <c r="J8" s="8">
        <f>VLOOKUP(A8,'[1]9_CITIZEN_PORTAL'!B:H,6,0)</f>
        <v>100</v>
      </c>
      <c r="K8" s="8">
        <f>VLOOKUP(A8,'[1]10_ESAKSHYA'!B:L,6,0)</f>
        <v>46.232876712328768</v>
      </c>
      <c r="L8" s="8">
        <f>VLOOKUP(A8,'[1]11_CRIMAC'!B:F,4,0)</f>
        <v>100</v>
      </c>
      <c r="M8" s="8">
        <f>VLOOKUP(A8,'[1]12_CEIR'!B:L,10,0)</f>
        <v>57.215568862275447</v>
      </c>
      <c r="N8" s="8">
        <f>VLOOKUP(A8,'[1]13_EPROSEC'!B:H,4,0)</f>
        <v>100</v>
      </c>
      <c r="O8" s="8">
        <f>VLOOKUP(A8,'[1]14_FIR_CS_COURT'!B:L,11,0)</f>
        <v>91.085129704055532</v>
      </c>
      <c r="P8" s="8">
        <f>VLOOKUP(A8,'[1]15_EOFFICE'!B:K,9,0)</f>
        <v>51.43</v>
      </c>
      <c r="Q8" s="8">
        <f>VLOOKUP(A8,'[1]16_APOLIS'!B:K,10,0)</f>
        <v>66.666666666666671</v>
      </c>
      <c r="R8" s="8">
        <f>VLOOKUP(A8,'[1]17_DRONE_FLYING'!B:J,9,0)</f>
        <v>89</v>
      </c>
      <c r="S8" s="8">
        <f>VLOOKUP(A8,'[1]18_112_TABS'!B:H,6,0)</f>
        <v>100</v>
      </c>
      <c r="T8" s="8">
        <f>VLOOKUP(A8,'[1]19_DIAL100_RES'!B:H,6,0)</f>
        <v>74.829931972789112</v>
      </c>
      <c r="U8" s="8">
        <f>VLOOKUP(A8,'[1]20_CCTV_360'!B:S,17,0)</f>
        <v>14.285714285714285</v>
      </c>
      <c r="V8" s="8">
        <f>VLOOKUP(A8,'[1]21_NEWS360AI'!B:D,2,0)</f>
        <v>0</v>
      </c>
      <c r="W8" s="8">
        <f>VLOOKUP(A8,'[1]22_eFSL'!B:F,4,0)</f>
        <v>0</v>
      </c>
      <c r="X8" s="8">
        <f>VLOOKUP(A8,'[1]23_UC3'!B:D,2,0)</f>
        <v>0</v>
      </c>
      <c r="Y8" s="8">
        <f>VLOOKUP(A8,'[1]23_UC4'!B:D,3,0)</f>
        <v>0</v>
      </c>
    </row>
    <row r="9" spans="1:25" s="9" customFormat="1" ht="25.9" customHeight="1" x14ac:dyDescent="0.25">
      <c r="A9" s="7" t="s">
        <v>32</v>
      </c>
      <c r="B9" s="8">
        <f>VLOOKUP(A9,'[1]1_MEDLEAPR_PME'!B:H,6,0)</f>
        <v>100</v>
      </c>
      <c r="C9" s="8" t="str">
        <f>VLOOKUP(A9,'[1]2_MEDLEAPR_MLC'!B:I,6,0)</f>
        <v>100.00</v>
      </c>
      <c r="D9" s="8">
        <f>VLOOKUP(A9,'[1]3_NATGRID'!B:H,6,0)</f>
        <v>0</v>
      </c>
      <c r="E9" s="8">
        <f>VLOOKUP(A9,'[1]4_DGP_DASH'!B:E,3,0)</f>
        <v>100</v>
      </c>
      <c r="F9" s="8">
        <f>VLOOKUP(A9,'[1]5_CCTNS_TILL'!B:P,13,0)</f>
        <v>100</v>
      </c>
      <c r="G9" s="8">
        <f>VLOOKUP(A9,'[1]6_CCTNS_1_7'!B:P,13,0)</f>
        <v>100</v>
      </c>
      <c r="H9" s="8">
        <f>VLOOKUP(A9,'[1]7_CCTNS_8_15'!B$2:M42,11,0)</f>
        <v>100</v>
      </c>
      <c r="I9" s="8">
        <f>VLOOKUP(A9,'[1]8_ZERO_FIRS'!B:H,6,0)</f>
        <v>100</v>
      </c>
      <c r="J9" s="8">
        <f>VLOOKUP(A9,'[1]9_CITIZEN_PORTAL'!B:H,6,0)</f>
        <v>100</v>
      </c>
      <c r="K9" s="8">
        <f>VLOOKUP(A9,'[1]10_ESAKSHYA'!B:L,6,0)</f>
        <v>98.762886597938149</v>
      </c>
      <c r="L9" s="8">
        <f>VLOOKUP(A9,'[1]11_CRIMAC'!B:F,4,0)</f>
        <v>100</v>
      </c>
      <c r="M9" s="8">
        <f>VLOOKUP(A9,'[1]12_CEIR'!B:L,10,0)</f>
        <v>89.770992366412202</v>
      </c>
      <c r="N9" s="8">
        <f>VLOOKUP(A9,'[1]13_EPROSEC'!B:H,4,0)</f>
        <v>100</v>
      </c>
      <c r="O9" s="8">
        <f>VLOOKUP(A9,'[1]14_FIR_CS_COURT'!B:L,11,0)</f>
        <v>80.575193672463286</v>
      </c>
      <c r="P9" s="8">
        <f>VLOOKUP(A9,'[1]15_EOFFICE'!B:K,9,0)</f>
        <v>51.43</v>
      </c>
      <c r="Q9" s="8">
        <f>VLOOKUP(A9,'[1]16_APOLIS'!B:K,10,0)</f>
        <v>86.666666666666671</v>
      </c>
      <c r="R9" s="8">
        <f>VLOOKUP(A9,'[1]17_DRONE_FLYING'!B:J,9,0)</f>
        <v>81</v>
      </c>
      <c r="S9" s="8">
        <f>VLOOKUP(A9,'[1]18_112_TABS'!B:H,6,0)</f>
        <v>100</v>
      </c>
      <c r="T9" s="8">
        <f>VLOOKUP(A9,'[1]19_DIAL100_RES'!B:H,6,0)</f>
        <v>75.510204081632651</v>
      </c>
      <c r="U9" s="8">
        <f>VLOOKUP(A9,'[1]20_CCTV_360'!B:S,17,0)</f>
        <v>14.285714285714285</v>
      </c>
      <c r="V9" s="8">
        <f>VLOOKUP(A9,'[1]21_NEWS360AI'!B:D,2,0)</f>
        <v>0</v>
      </c>
      <c r="W9" s="8">
        <f>VLOOKUP(A9,'[1]22_eFSL'!B:F,4,0)</f>
        <v>100</v>
      </c>
      <c r="X9" s="8">
        <f>VLOOKUP(A9,'[1]23_UC3'!B:D,2,0)</f>
        <v>0</v>
      </c>
      <c r="Y9" s="8">
        <f>VLOOKUP(A9,'[1]23_UC4'!B:D,3,0)</f>
        <v>0</v>
      </c>
    </row>
    <row r="10" spans="1:25" s="9" customFormat="1" ht="25.9" customHeight="1" x14ac:dyDescent="0.25">
      <c r="A10" s="7" t="s">
        <v>33</v>
      </c>
      <c r="B10" s="8">
        <f>VLOOKUP(A10,'[1]1_MEDLEAPR_PME'!B:H,6,0)</f>
        <v>100</v>
      </c>
      <c r="C10" s="8">
        <f>VLOOKUP(A10,'[1]2_MEDLEAPR_MLC'!B:I,6,0)</f>
        <v>100</v>
      </c>
      <c r="D10" s="8">
        <f>VLOOKUP(A10,'[1]3_NATGRID'!B:H,6,0)</f>
        <v>0</v>
      </c>
      <c r="E10" s="8">
        <f>VLOOKUP(A10,'[1]4_DGP_DASH'!B:E,3,0)</f>
        <v>100</v>
      </c>
      <c r="F10" s="8">
        <f>VLOOKUP(A10,'[1]5_CCTNS_TILL'!B:P,13,0)</f>
        <v>100</v>
      </c>
      <c r="G10" s="8">
        <f>VLOOKUP(A10,'[1]6_CCTNS_1_7'!B:P,13,0)</f>
        <v>90.15</v>
      </c>
      <c r="H10" s="8">
        <f>VLOOKUP(A10,'[1]7_CCTNS_8_15'!B$2:M43,11,0)</f>
        <v>100</v>
      </c>
      <c r="I10" s="8">
        <f>VLOOKUP(A10,'[1]8_ZERO_FIRS'!B:H,6,0)</f>
        <v>100</v>
      </c>
      <c r="J10" s="8">
        <f>VLOOKUP(A10,'[1]9_CITIZEN_PORTAL'!B:H,6,0)</f>
        <v>100</v>
      </c>
      <c r="K10" s="8">
        <f>VLOOKUP(A10,'[1]10_ESAKSHYA'!B:L,6,0)</f>
        <v>82.082324455205807</v>
      </c>
      <c r="L10" s="8">
        <f>VLOOKUP(A10,'[1]11_CRIMAC'!B:F,4,0)</f>
        <v>100</v>
      </c>
      <c r="M10" s="8">
        <f>VLOOKUP(A10,'[1]12_CEIR'!B:L,10,0)</f>
        <v>62.5</v>
      </c>
      <c r="N10" s="8">
        <f>VLOOKUP(A10,'[1]13_EPROSEC'!B:H,4,0)</f>
        <v>100</v>
      </c>
      <c r="O10" s="8">
        <f>VLOOKUP(A10,'[1]14_FIR_CS_COURT'!B:L,11,0)</f>
        <v>86.404510087126681</v>
      </c>
      <c r="P10" s="8">
        <f>VLOOKUP(A10,'[1]15_EOFFICE'!B:K,9,0)</f>
        <v>26.19</v>
      </c>
      <c r="Q10" s="8">
        <f>VLOOKUP(A10,'[1]16_APOLIS'!B:K,10,0)</f>
        <v>91.666666666666657</v>
      </c>
      <c r="R10" s="8">
        <f>VLOOKUP(A10,'[1]17_DRONE_FLYING'!B:J,9,0)</f>
        <v>20</v>
      </c>
      <c r="S10" s="8">
        <f>VLOOKUP(A10,'[1]18_112_TABS'!B:H,6,0)</f>
        <v>100</v>
      </c>
      <c r="T10" s="8">
        <f>VLOOKUP(A10,'[1]19_DIAL100_RES'!B:H,6,0)</f>
        <v>34.693877551020407</v>
      </c>
      <c r="U10" s="8">
        <f>VLOOKUP(A10,'[1]20_CCTV_360'!B:S,17,0)</f>
        <v>21.428571428571427</v>
      </c>
      <c r="V10" s="8">
        <f>VLOOKUP(A10,'[1]21_NEWS360AI'!B:D,2,0)</f>
        <v>0</v>
      </c>
      <c r="W10" s="8">
        <f>VLOOKUP(A10,'[1]22_eFSL'!B:F,4,0)</f>
        <v>0</v>
      </c>
      <c r="X10" s="8">
        <f>VLOOKUP(A10,'[1]23_UC3'!B:D,2,0)</f>
        <v>0</v>
      </c>
      <c r="Y10" s="8">
        <f>VLOOKUP(A10,'[1]23_UC4'!B:D,3,0)</f>
        <v>0</v>
      </c>
    </row>
    <row r="11" spans="1:25" s="9" customFormat="1" ht="25.9" customHeight="1" x14ac:dyDescent="0.25">
      <c r="A11" s="7" t="s">
        <v>34</v>
      </c>
      <c r="B11" s="8">
        <f>VLOOKUP(A11,'[1]1_MEDLEAPR_PME'!B:H,6,0)</f>
        <v>100</v>
      </c>
      <c r="C11" s="8">
        <f>VLOOKUP(A11,'[1]2_MEDLEAPR_MLC'!B:I,6,0)</f>
        <v>100</v>
      </c>
      <c r="D11" s="8">
        <f>VLOOKUP(A11,'[1]3_NATGRID'!B:H,6,0)</f>
        <v>0</v>
      </c>
      <c r="E11" s="8">
        <f>VLOOKUP(A11,'[1]4_DGP_DASH'!B:E,3,0)</f>
        <v>100</v>
      </c>
      <c r="F11" s="8">
        <f>VLOOKUP(A11,'[1]5_CCTNS_TILL'!B:P,13,0)</f>
        <v>100</v>
      </c>
      <c r="G11" s="8">
        <f>VLOOKUP(A11,'[1]6_CCTNS_1_7'!B:P,13,0)</f>
        <v>100</v>
      </c>
      <c r="H11" s="8">
        <f>VLOOKUP(A11,'[1]7_CCTNS_8_15'!B$2:M44,11,0)</f>
        <v>100</v>
      </c>
      <c r="I11" s="8">
        <f>VLOOKUP(A11,'[1]8_ZERO_FIRS'!B:H,6,0)</f>
        <v>100</v>
      </c>
      <c r="J11" s="8">
        <f>VLOOKUP(A11,'[1]9_CITIZEN_PORTAL'!B:H,6,0)</f>
        <v>100</v>
      </c>
      <c r="K11" s="8">
        <f>VLOOKUP(A11,'[1]10_ESAKSHYA'!B:L,6,0)</f>
        <v>92.883895131086149</v>
      </c>
      <c r="L11" s="8">
        <f>VLOOKUP(A11,'[1]11_CRIMAC'!B:F,4,0)</f>
        <v>100</v>
      </c>
      <c r="M11" s="8">
        <f>VLOOKUP(A11,'[1]12_CEIR'!B:L,10,0)</f>
        <v>86.785714285714278</v>
      </c>
      <c r="N11" s="8">
        <f>VLOOKUP(A11,'[1]13_EPROSEC'!B:H,4,0)</f>
        <v>100</v>
      </c>
      <c r="O11" s="8">
        <f>VLOOKUP(A11,'[1]14_FIR_CS_COURT'!B:L,11,0)</f>
        <v>90.369710934227072</v>
      </c>
      <c r="P11" s="8">
        <f>VLOOKUP(A11,'[1]15_EOFFICE'!B:K,9,0)</f>
        <v>22.024999999999999</v>
      </c>
      <c r="Q11" s="8">
        <f>VLOOKUP(A11,'[1]16_APOLIS'!B:K,10,0)</f>
        <v>86</v>
      </c>
      <c r="R11" s="8">
        <f>VLOOKUP(A11,'[1]17_DRONE_FLYING'!B:J,9,0)</f>
        <v>54</v>
      </c>
      <c r="S11" s="8">
        <f>VLOOKUP(A11,'[1]18_112_TABS'!B:H,6,0)</f>
        <v>100</v>
      </c>
      <c r="T11" s="8">
        <f>VLOOKUP(A11,'[1]19_DIAL100_RES'!B:H,6,0)</f>
        <v>76.870748299319729</v>
      </c>
      <c r="U11" s="8">
        <f>VLOOKUP(A11,'[1]20_CCTV_360'!B:S,17,0)</f>
        <v>21.428571428571427</v>
      </c>
      <c r="V11" s="8">
        <f>VLOOKUP(A11,'[1]21_NEWS360AI'!B:D,2,0)</f>
        <v>0</v>
      </c>
      <c r="W11" s="8">
        <f>VLOOKUP(A11,'[1]22_eFSL'!B:F,4,0)</f>
        <v>0</v>
      </c>
      <c r="X11" s="8">
        <f>VLOOKUP(A11,'[1]23_UC3'!B:D,2,0)</f>
        <v>0</v>
      </c>
      <c r="Y11" s="8">
        <f>VLOOKUP(A11,'[1]23_UC4'!B:D,3,0)</f>
        <v>0</v>
      </c>
    </row>
    <row r="12" spans="1:25" s="9" customFormat="1" ht="25.9" customHeight="1" x14ac:dyDescent="0.25">
      <c r="A12" s="7" t="s">
        <v>35</v>
      </c>
      <c r="B12" s="8" t="str">
        <f>VLOOKUP(A12,'[1]1_MEDLEAPR_PME'!B:H,6,0)</f>
        <v>100.00</v>
      </c>
      <c r="C12" s="8" t="str">
        <f>VLOOKUP(A12,'[1]2_MEDLEAPR_MLC'!B:I,6,0)</f>
        <v>100.00</v>
      </c>
      <c r="D12" s="8">
        <f>VLOOKUP(A12,'[1]3_NATGRID'!B:H,6,0)</f>
        <v>0</v>
      </c>
      <c r="E12" s="8">
        <f>VLOOKUP(A12,'[1]4_DGP_DASH'!B:E,3,0)</f>
        <v>100</v>
      </c>
      <c r="F12" s="8">
        <f>VLOOKUP(A12,'[1]5_CCTNS_TILL'!B:P,13,0)</f>
        <v>100</v>
      </c>
      <c r="G12" s="8">
        <f>VLOOKUP(A12,'[1]6_CCTNS_1_7'!B:P,13,0)</f>
        <v>50</v>
      </c>
      <c r="H12" s="8">
        <f>VLOOKUP(A12,'[1]7_CCTNS_8_15'!B$2:M45,11,0)</f>
        <v>100</v>
      </c>
      <c r="I12" s="8">
        <f>VLOOKUP(A12,'[1]8_ZERO_FIRS'!B:H,6,0)</f>
        <v>100</v>
      </c>
      <c r="J12" s="8">
        <f>VLOOKUP(A12,'[1]9_CITIZEN_PORTAL'!B:H,6,0)</f>
        <v>100</v>
      </c>
      <c r="K12" s="8">
        <f>VLOOKUP(A12,'[1]10_ESAKSHYA'!B:L,6,0)</f>
        <v>97.659574468085111</v>
      </c>
      <c r="L12" s="8">
        <f>VLOOKUP(A12,'[1]11_CRIMAC'!B:F,4,0)</f>
        <v>100</v>
      </c>
      <c r="M12" s="8">
        <f>VLOOKUP(A12,'[1]12_CEIR'!B:L,10,0)</f>
        <v>56.875</v>
      </c>
      <c r="N12" s="8">
        <f>VLOOKUP(A12,'[1]13_EPROSEC'!B:H,4,0)</f>
        <v>100</v>
      </c>
      <c r="O12" s="8">
        <f>VLOOKUP(A12,'[1]14_FIR_CS_COURT'!B:L,11,0)</f>
        <v>90.897435897435898</v>
      </c>
      <c r="P12" s="8">
        <f>VLOOKUP(A12,'[1]15_EOFFICE'!B:K,9,0)</f>
        <v>0</v>
      </c>
      <c r="Q12" s="8">
        <f>VLOOKUP(A12,'[1]16_APOLIS'!B:K,10,0)</f>
        <v>86.956521739130437</v>
      </c>
      <c r="R12" s="8">
        <f>VLOOKUP(A12,'[1]17_DRONE_FLYING'!B:J,9,0)</f>
        <v>20</v>
      </c>
      <c r="S12" s="8">
        <f>VLOOKUP(A12,'[1]18_112_TABS'!B:H,6,0)</f>
        <v>100</v>
      </c>
      <c r="T12" s="8">
        <f>VLOOKUP(A12,'[1]19_DIAL100_RES'!B:H,6,0)</f>
        <v>50</v>
      </c>
      <c r="U12" s="8">
        <f>VLOOKUP(A12,'[1]20_CCTV_360'!B:S,17,0)</f>
        <v>0</v>
      </c>
      <c r="V12" s="8">
        <f>VLOOKUP(A12,'[1]21_NEWS360AI'!B:D,2,0)</f>
        <v>0</v>
      </c>
      <c r="W12" s="8">
        <f>VLOOKUP(A12,'[1]22_eFSL'!B:F,4,0)</f>
        <v>100</v>
      </c>
      <c r="X12" s="8">
        <f>VLOOKUP(A12,'[1]23_UC3'!B:D,2,0)</f>
        <v>0</v>
      </c>
      <c r="Y12" s="8">
        <f>VLOOKUP(A12,'[1]23_UC4'!B:D,3,0)</f>
        <v>0</v>
      </c>
    </row>
    <row r="13" spans="1:25" s="9" customFormat="1" ht="25.9" customHeight="1" x14ac:dyDescent="0.25">
      <c r="A13" s="7" t="s">
        <v>36</v>
      </c>
      <c r="B13" s="8" t="str">
        <f>VLOOKUP(A13,'[1]1_MEDLEAPR_PME'!B:H,6,0)</f>
        <v>100.00</v>
      </c>
      <c r="C13" s="8">
        <f>VLOOKUP(A13,'[1]2_MEDLEAPR_MLC'!B:I,6,0)</f>
        <v>100</v>
      </c>
      <c r="D13" s="8">
        <f>VLOOKUP(A13,'[1]3_NATGRID'!B:H,6,0)</f>
        <v>0</v>
      </c>
      <c r="E13" s="8">
        <f>VLOOKUP(A13,'[1]4_DGP_DASH'!B:E,3,0)</f>
        <v>100</v>
      </c>
      <c r="F13" s="8">
        <f>VLOOKUP(A13,'[1]5_CCTNS_TILL'!B:P,13,0)</f>
        <v>100</v>
      </c>
      <c r="G13" s="8">
        <f>VLOOKUP(A13,'[1]6_CCTNS_1_7'!B:P,13,0)</f>
        <v>100</v>
      </c>
      <c r="H13" s="8">
        <f>VLOOKUP(A13,'[1]7_CCTNS_8_15'!B$2:M46,11,0)</f>
        <v>100</v>
      </c>
      <c r="I13" s="8">
        <f>VLOOKUP(A13,'[1]8_ZERO_FIRS'!B:H,6,0)</f>
        <v>100</v>
      </c>
      <c r="J13" s="8">
        <f>VLOOKUP(A13,'[1]9_CITIZEN_PORTAL'!B:H,6,0)</f>
        <v>100</v>
      </c>
      <c r="K13" s="8">
        <f>VLOOKUP(A13,'[1]10_ESAKSHYA'!B:L,6,0)</f>
        <v>69.31506849315069</v>
      </c>
      <c r="L13" s="8">
        <f>VLOOKUP(A13,'[1]11_CRIMAC'!B:F,4,0)</f>
        <v>100</v>
      </c>
      <c r="M13" s="8">
        <f>VLOOKUP(A13,'[1]12_CEIR'!B:L,10,0)</f>
        <v>88.064516129032256</v>
      </c>
      <c r="N13" s="8">
        <f>VLOOKUP(A13,'[1]13_EPROSEC'!B:H,4,0)</f>
        <v>100</v>
      </c>
      <c r="O13" s="8">
        <f>VLOOKUP(A13,'[1]14_FIR_CS_COURT'!B:L,11,0)</f>
        <v>94.698412698412696</v>
      </c>
      <c r="P13" s="8">
        <f>VLOOKUP(A13,'[1]15_EOFFICE'!B:K,9,0)</f>
        <v>59.524999999999999</v>
      </c>
      <c r="Q13" s="8">
        <f>VLOOKUP(A13,'[1]16_APOLIS'!B:K,10,0)</f>
        <v>92.5</v>
      </c>
      <c r="R13" s="8">
        <f>VLOOKUP(A13,'[1]17_DRONE_FLYING'!B:J,9,0)</f>
        <v>20</v>
      </c>
      <c r="S13" s="8">
        <f>VLOOKUP(A13,'[1]18_112_TABS'!B:H,6,0)</f>
        <v>100</v>
      </c>
      <c r="T13" s="8">
        <f>VLOOKUP(A13,'[1]19_DIAL100_RES'!B:H,6,0)</f>
        <v>48.072562358276642</v>
      </c>
      <c r="U13" s="8">
        <f>VLOOKUP(A13,'[1]20_CCTV_360'!B:S,17,0)</f>
        <v>7.1428571428571423</v>
      </c>
      <c r="V13" s="8">
        <f>VLOOKUP(A13,'[1]21_NEWS360AI'!B:D,2,0)</f>
        <v>0</v>
      </c>
      <c r="W13" s="8">
        <f>VLOOKUP(A13,'[1]22_eFSL'!B:F,4,0)</f>
        <v>100</v>
      </c>
      <c r="X13" s="8">
        <f>VLOOKUP(A13,'[1]23_UC3'!B:D,2,0)</f>
        <v>0</v>
      </c>
      <c r="Y13" s="8">
        <f>VLOOKUP(A13,'[1]23_UC4'!B:D,3,0)</f>
        <v>0</v>
      </c>
    </row>
    <row r="14" spans="1:25" s="9" customFormat="1" ht="25.9" customHeight="1" x14ac:dyDescent="0.25">
      <c r="A14" s="7" t="s">
        <v>37</v>
      </c>
      <c r="B14" s="8">
        <f>VLOOKUP(A14,'[1]1_MEDLEAPR_PME'!B:H,6,0)</f>
        <v>100</v>
      </c>
      <c r="C14" s="8" t="str">
        <f>VLOOKUP(A14,'[1]2_MEDLEAPR_MLC'!B:I,6,0)</f>
        <v>100.00</v>
      </c>
      <c r="D14" s="8">
        <f>VLOOKUP(A14,'[1]3_NATGRID'!B:H,6,0)</f>
        <v>0</v>
      </c>
      <c r="E14" s="8">
        <f>VLOOKUP(A14,'[1]4_DGP_DASH'!B:E,3,0)</f>
        <v>100</v>
      </c>
      <c r="F14" s="8">
        <f>VLOOKUP(A14,'[1]5_CCTNS_TILL'!B:P,13,0)</f>
        <v>100</v>
      </c>
      <c r="G14" s="8">
        <f>VLOOKUP(A14,'[1]6_CCTNS_1_7'!B:P,13,0)</f>
        <v>100</v>
      </c>
      <c r="H14" s="8">
        <f>VLOOKUP(A14,'[1]7_CCTNS_8_15'!B$2:M47,11,0)</f>
        <v>0</v>
      </c>
      <c r="I14" s="8">
        <f>VLOOKUP(A14,'[1]8_ZERO_FIRS'!B:H,6,0)</f>
        <v>100</v>
      </c>
      <c r="J14" s="8">
        <f>VLOOKUP(A14,'[1]9_CITIZEN_PORTAL'!B:H,6,0)</f>
        <v>100</v>
      </c>
      <c r="K14" s="8">
        <f>VLOOKUP(A14,'[1]10_ESAKSHYA'!B:L,6,0)</f>
        <v>95.856873822975516</v>
      </c>
      <c r="L14" s="8">
        <f>VLOOKUP(A14,'[1]11_CRIMAC'!B:F,4,0)</f>
        <v>100</v>
      </c>
      <c r="M14" s="8">
        <f>VLOOKUP(A14,'[1]12_CEIR'!B:L,10,0)</f>
        <v>33.364485981308412</v>
      </c>
      <c r="N14" s="8">
        <f>VLOOKUP(A14,'[1]13_EPROSEC'!B:H,4,0)</f>
        <v>100</v>
      </c>
      <c r="O14" s="8">
        <f>VLOOKUP(A14,'[1]14_FIR_CS_COURT'!B:L,11,0)</f>
        <v>77.874107939339879</v>
      </c>
      <c r="P14" s="8">
        <f>VLOOKUP(A14,'[1]15_EOFFICE'!B:K,9,0)</f>
        <v>0</v>
      </c>
      <c r="Q14" s="8">
        <f>VLOOKUP(A14,'[1]16_APOLIS'!B:K,10,0)</f>
        <v>73.68421052631578</v>
      </c>
      <c r="R14" s="8">
        <f>VLOOKUP(A14,'[1]17_DRONE_FLYING'!B:J,9,0)</f>
        <v>34</v>
      </c>
      <c r="S14" s="8">
        <f>VLOOKUP(A14,'[1]18_112_TABS'!B:H,6,0)</f>
        <v>100</v>
      </c>
      <c r="T14" s="8">
        <f>VLOOKUP(A14,'[1]19_DIAL100_RES'!B:H,6,0)</f>
        <v>14.965986394557817</v>
      </c>
      <c r="U14" s="8">
        <f>VLOOKUP(A14,'[1]20_CCTV_360'!B:S,17,0)</f>
        <v>7.1428571428571423</v>
      </c>
      <c r="V14" s="8">
        <f>VLOOKUP(A14,'[1]21_NEWS360AI'!B:D,2,0)</f>
        <v>0</v>
      </c>
      <c r="W14" s="8">
        <f>VLOOKUP(A14,'[1]22_eFSL'!B:F,4,0)</f>
        <v>0</v>
      </c>
      <c r="X14" s="8">
        <f>VLOOKUP(A14,'[1]23_UC3'!B:D,2,0)</f>
        <v>0</v>
      </c>
      <c r="Y14" s="8">
        <f>VLOOKUP(A14,'[1]23_UC4'!B:D,3,0)</f>
        <v>0</v>
      </c>
    </row>
    <row r="15" spans="1:25" s="9" customFormat="1" ht="25.9" customHeight="1" x14ac:dyDescent="0.25">
      <c r="A15" s="7" t="s">
        <v>38</v>
      </c>
      <c r="B15" s="8" t="str">
        <f>VLOOKUP(A15,'[1]1_MEDLEAPR_PME'!B:H,6,0)</f>
        <v>100.00</v>
      </c>
      <c r="C15" s="8">
        <f>VLOOKUP(A15,'[1]2_MEDLEAPR_MLC'!B:I,6,0)</f>
        <v>100</v>
      </c>
      <c r="D15" s="8">
        <f>VLOOKUP(A15,'[1]3_NATGRID'!B:H,6,0)</f>
        <v>0</v>
      </c>
      <c r="E15" s="8">
        <f>VLOOKUP(A15,'[1]4_DGP_DASH'!B:E,3,0)</f>
        <v>100</v>
      </c>
      <c r="F15" s="8">
        <f>VLOOKUP(A15,'[1]5_CCTNS_TILL'!B:P,13,0)</f>
        <v>91.31</v>
      </c>
      <c r="G15" s="8">
        <f>VLOOKUP(A15,'[1]6_CCTNS_1_7'!B:P,13,0)</f>
        <v>93.49</v>
      </c>
      <c r="H15" s="8">
        <f>VLOOKUP(A15,'[1]7_CCTNS_8_15'!B$2:M48,11,0)</f>
        <v>0</v>
      </c>
      <c r="I15" s="8">
        <f>VLOOKUP(A15,'[1]8_ZERO_FIRS'!B:H,6,0)</f>
        <v>100</v>
      </c>
      <c r="J15" s="8">
        <f>VLOOKUP(A15,'[1]9_CITIZEN_PORTAL'!B:H,6,0)</f>
        <v>100</v>
      </c>
      <c r="K15" s="8">
        <f>VLOOKUP(A15,'[1]10_ESAKSHYA'!B:L,6,0)</f>
        <v>66.862170087976537</v>
      </c>
      <c r="L15" s="8">
        <f>VLOOKUP(A15,'[1]11_CRIMAC'!B:F,4,0)</f>
        <v>100</v>
      </c>
      <c r="M15" s="8">
        <f>VLOOKUP(A15,'[1]12_CEIR'!B:L,10,0)</f>
        <v>53.666666666666671</v>
      </c>
      <c r="N15" s="8">
        <f>VLOOKUP(A15,'[1]13_EPROSEC'!B:H,4,0)</f>
        <v>100</v>
      </c>
      <c r="O15" s="8">
        <f>VLOOKUP(A15,'[1]14_FIR_CS_COURT'!B:L,11,0)</f>
        <v>59.526484751203853</v>
      </c>
      <c r="P15" s="8">
        <f>VLOOKUP(A15,'[1]15_EOFFICE'!B:K,9,0)</f>
        <v>0</v>
      </c>
      <c r="Q15" s="8">
        <f>VLOOKUP(A15,'[1]16_APOLIS'!B:K,10,0)</f>
        <v>62.5</v>
      </c>
      <c r="R15" s="8">
        <f>VLOOKUP(A15,'[1]17_DRONE_FLYING'!B:J,9,0)</f>
        <v>20</v>
      </c>
      <c r="S15" s="8">
        <f>VLOOKUP(A15,'[1]18_112_TABS'!B:H,6,0)</f>
        <v>100</v>
      </c>
      <c r="T15" s="8">
        <f>VLOOKUP(A15,'[1]19_DIAL100_RES'!B:H,6,0)</f>
        <v>74.149659863945573</v>
      </c>
      <c r="U15" s="8">
        <f>VLOOKUP(A15,'[1]20_CCTV_360'!B:S,17,0)</f>
        <v>7.1428571428571423</v>
      </c>
      <c r="V15" s="8">
        <f>VLOOKUP(A15,'[1]21_NEWS360AI'!B:D,2,0)</f>
        <v>0</v>
      </c>
      <c r="W15" s="8">
        <f>VLOOKUP(A15,'[1]22_eFSL'!B:F,4,0)</f>
        <v>100</v>
      </c>
      <c r="X15" s="8">
        <f>VLOOKUP(A15,'[1]23_UC3'!B:D,2,0)</f>
        <v>0</v>
      </c>
      <c r="Y15" s="8">
        <f>VLOOKUP(A15,'[1]23_UC4'!B:D,3,0)</f>
        <v>0</v>
      </c>
    </row>
    <row r="16" spans="1:25" s="9" customFormat="1" ht="25.9" customHeight="1" x14ac:dyDescent="0.25">
      <c r="A16" s="7" t="s">
        <v>39</v>
      </c>
      <c r="B16" s="8">
        <f>VLOOKUP(A16,'[1]1_MEDLEAPR_PME'!B:H,6,0)</f>
        <v>100</v>
      </c>
      <c r="C16" s="8" t="str">
        <f>VLOOKUP(A16,'[1]2_MEDLEAPR_MLC'!B:I,6,0)</f>
        <v>100.00</v>
      </c>
      <c r="D16" s="8">
        <f>VLOOKUP(A16,'[1]3_NATGRID'!B:H,6,0)</f>
        <v>0</v>
      </c>
      <c r="E16" s="8">
        <f>VLOOKUP(A16,'[1]4_DGP_DASH'!B:E,3,0)</f>
        <v>100</v>
      </c>
      <c r="F16" s="8">
        <f>VLOOKUP(A16,'[1]5_CCTNS_TILL'!B:P,13,0)</f>
        <v>68.09</v>
      </c>
      <c r="G16" s="8">
        <f>VLOOKUP(A16,'[1]6_CCTNS_1_7'!B:P,13,0)</f>
        <v>100</v>
      </c>
      <c r="H16" s="8">
        <f>VLOOKUP(A16,'[1]7_CCTNS_8_15'!B$2:M49,11,0)</f>
        <v>0</v>
      </c>
      <c r="I16" s="8">
        <f>VLOOKUP(A16,'[1]8_ZERO_FIRS'!B:H,6,0)</f>
        <v>100</v>
      </c>
      <c r="J16" s="8">
        <f>VLOOKUP(A16,'[1]9_CITIZEN_PORTAL'!B:H,6,0)</f>
        <v>100</v>
      </c>
      <c r="K16" s="8">
        <f>VLOOKUP(A16,'[1]10_ESAKSHYA'!B:L,6,0)</f>
        <v>62.990196078431374</v>
      </c>
      <c r="L16" s="8">
        <f>VLOOKUP(A16,'[1]11_CRIMAC'!B:F,4,0)</f>
        <v>100</v>
      </c>
      <c r="M16" s="8">
        <f>VLOOKUP(A16,'[1]12_CEIR'!B:L,10,0)</f>
        <v>70.760869565217405</v>
      </c>
      <c r="N16" s="8">
        <f>VLOOKUP(A16,'[1]13_EPROSEC'!B:H,4,0)</f>
        <v>100</v>
      </c>
      <c r="O16" s="8">
        <f>VLOOKUP(A16,'[1]14_FIR_CS_COURT'!B:L,11,0)</f>
        <v>95.716966966966964</v>
      </c>
      <c r="P16" s="8">
        <f>VLOOKUP(A16,'[1]15_EOFFICE'!B:K,9,0)</f>
        <v>0</v>
      </c>
      <c r="Q16" s="8">
        <f>VLOOKUP(A16,'[1]16_APOLIS'!B:K,10,0)</f>
        <v>64.285714285714292</v>
      </c>
      <c r="R16" s="8">
        <f>VLOOKUP(A16,'[1]17_DRONE_FLYING'!B:J,9,0)</f>
        <v>36</v>
      </c>
      <c r="S16" s="8">
        <f>VLOOKUP(A16,'[1]18_112_TABS'!B:H,6,0)</f>
        <v>100</v>
      </c>
      <c r="T16" s="8">
        <f>VLOOKUP(A16,'[1]19_DIAL100_RES'!B:H,6,0)</f>
        <v>51.247165532879812</v>
      </c>
      <c r="U16" s="8">
        <f>VLOOKUP(A16,'[1]20_CCTV_360'!B:S,17,0)</f>
        <v>14.285714285714285</v>
      </c>
      <c r="V16" s="8">
        <f>VLOOKUP(A16,'[1]21_NEWS360AI'!B:D,2,0)</f>
        <v>0</v>
      </c>
      <c r="W16" s="8">
        <f>VLOOKUP(A16,'[1]22_eFSL'!B:F,4,0)</f>
        <v>50</v>
      </c>
      <c r="X16" s="8">
        <f>VLOOKUP(A16,'[1]23_UC3'!B:D,2,0)</f>
        <v>0</v>
      </c>
      <c r="Y16" s="8">
        <f>VLOOKUP(A16,'[1]23_UC4'!B:D,3,0)</f>
        <v>0</v>
      </c>
    </row>
    <row r="17" spans="1:25" s="9" customFormat="1" ht="25.9" customHeight="1" x14ac:dyDescent="0.25">
      <c r="A17" s="7" t="s">
        <v>40</v>
      </c>
      <c r="B17" s="8" t="str">
        <f>VLOOKUP(A17,'[1]1_MEDLEAPR_PME'!B:H,6,0)</f>
        <v>100.00</v>
      </c>
      <c r="C17" s="8" t="str">
        <f>VLOOKUP(A17,'[1]2_MEDLEAPR_MLC'!B:I,6,0)</f>
        <v>100.00</v>
      </c>
      <c r="D17" s="8">
        <f>VLOOKUP(A17,'[1]3_NATGRID'!B:H,6,0)</f>
        <v>0</v>
      </c>
      <c r="E17" s="8">
        <f>VLOOKUP(A17,'[1]4_DGP_DASH'!B:E,3,0)</f>
        <v>100</v>
      </c>
      <c r="F17" s="8">
        <f>VLOOKUP(A17,'[1]5_CCTNS_TILL'!B:P,13,0)</f>
        <v>65.23</v>
      </c>
      <c r="G17" s="8">
        <f>VLOOKUP(A17,'[1]6_CCTNS_1_7'!B:P,13,0)</f>
        <v>100</v>
      </c>
      <c r="H17" s="8">
        <f>VLOOKUP(A17,'[1]7_CCTNS_8_15'!B$2:M50,11,0)</f>
        <v>0</v>
      </c>
      <c r="I17" s="8">
        <f>VLOOKUP(A17,'[1]8_ZERO_FIRS'!B:H,6,0)</f>
        <v>100</v>
      </c>
      <c r="J17" s="8">
        <f>VLOOKUP(A17,'[1]9_CITIZEN_PORTAL'!B:H,6,0)</f>
        <v>100</v>
      </c>
      <c r="K17" s="8">
        <f>VLOOKUP(A17,'[1]10_ESAKSHYA'!B:L,6,0)</f>
        <v>80.645161290322577</v>
      </c>
      <c r="L17" s="8">
        <f>VLOOKUP(A17,'[1]11_CRIMAC'!B:F,4,0)</f>
        <v>100</v>
      </c>
      <c r="M17" s="8">
        <f>VLOOKUP(A17,'[1]12_CEIR'!B:L,10,0)</f>
        <v>39.375</v>
      </c>
      <c r="N17" s="8">
        <f>VLOOKUP(A17,'[1]13_EPROSEC'!B:H,4,0)</f>
        <v>100</v>
      </c>
      <c r="O17" s="8">
        <f>VLOOKUP(A17,'[1]14_FIR_CS_COURT'!B:L,11,0)</f>
        <v>94.823529411764696</v>
      </c>
      <c r="P17" s="8">
        <f>VLOOKUP(A17,'[1]15_EOFFICE'!B:K,9,0)</f>
        <v>7.1449999999999996</v>
      </c>
      <c r="Q17" s="8">
        <f>VLOOKUP(A17,'[1]16_APOLIS'!B:K,10,0)</f>
        <v>71.875</v>
      </c>
      <c r="R17" s="8">
        <f>VLOOKUP(A17,'[1]17_DRONE_FLYING'!B:J,9,0)</f>
        <v>36</v>
      </c>
      <c r="S17" s="8">
        <f>VLOOKUP(A17,'[1]18_112_TABS'!B:H,6,0)</f>
        <v>100</v>
      </c>
      <c r="T17" s="8">
        <f>VLOOKUP(A17,'[1]19_DIAL100_RES'!B:H,6,0)</f>
        <v>100</v>
      </c>
      <c r="U17" s="8">
        <f>VLOOKUP(A17,'[1]20_CCTV_360'!B:S,17,0)</f>
        <v>7.1428571428571423</v>
      </c>
      <c r="V17" s="8">
        <f>VLOOKUP(A17,'[1]21_NEWS360AI'!B:D,2,0)</f>
        <v>0</v>
      </c>
      <c r="W17" s="8">
        <f>VLOOKUP(A17,'[1]22_eFSL'!B:F,4,0)</f>
        <v>0</v>
      </c>
      <c r="X17" s="8">
        <f>VLOOKUP(A17,'[1]23_UC3'!B:D,2,0)</f>
        <v>0</v>
      </c>
      <c r="Y17" s="8">
        <f>VLOOKUP(A17,'[1]23_UC4'!B:D,3,0)</f>
        <v>0</v>
      </c>
    </row>
    <row r="18" spans="1:25" s="9" customFormat="1" ht="25.9" customHeight="1" x14ac:dyDescent="0.25">
      <c r="A18" s="7" t="s">
        <v>41</v>
      </c>
      <c r="B18" s="8">
        <f>VLOOKUP(A18,'[1]1_MEDLEAPR_PME'!B:H,6,0)</f>
        <v>100</v>
      </c>
      <c r="C18" s="8">
        <f>VLOOKUP(A18,'[1]2_MEDLEAPR_MLC'!B:I,6,0)</f>
        <v>100</v>
      </c>
      <c r="D18" s="8">
        <f>VLOOKUP(A18,'[1]3_NATGRID'!B:H,6,0)</f>
        <v>0</v>
      </c>
      <c r="E18" s="8">
        <f>VLOOKUP(A18,'[1]4_DGP_DASH'!B:E,3,0)</f>
        <v>100</v>
      </c>
      <c r="F18" s="8">
        <f>VLOOKUP(A18,'[1]5_CCTNS_TILL'!B:P,13,0)</f>
        <v>76.75</v>
      </c>
      <c r="G18" s="8">
        <f>VLOOKUP(A18,'[1]6_CCTNS_1_7'!B:P,13,0)</f>
        <v>100</v>
      </c>
      <c r="H18" s="8">
        <f>VLOOKUP(A18,'[1]7_CCTNS_8_15'!B$2:M51,11,0)</f>
        <v>100</v>
      </c>
      <c r="I18" s="8">
        <f>VLOOKUP(A18,'[1]8_ZERO_FIRS'!B:H,6,0)</f>
        <v>100</v>
      </c>
      <c r="J18" s="8">
        <f>VLOOKUP(A18,'[1]9_CITIZEN_PORTAL'!B:H,6,0)</f>
        <v>100</v>
      </c>
      <c r="K18" s="8">
        <f>VLOOKUP(A18,'[1]10_ESAKSHYA'!B:L,6,0)</f>
        <v>99.635036496350367</v>
      </c>
      <c r="L18" s="8">
        <f>VLOOKUP(A18,'[1]11_CRIMAC'!B:F,4,0)</f>
        <v>100</v>
      </c>
      <c r="M18" s="8">
        <f>VLOOKUP(A18,'[1]12_CEIR'!B:L,10,0)</f>
        <v>37.611940298507463</v>
      </c>
      <c r="N18" s="8">
        <f>VLOOKUP(A18,'[1]13_EPROSEC'!B:H,4,0)</f>
        <v>100</v>
      </c>
      <c r="O18" s="8">
        <f>VLOOKUP(A18,'[1]14_FIR_CS_COURT'!B:L,11,0)</f>
        <v>96.033533533533529</v>
      </c>
      <c r="P18" s="8">
        <f>VLOOKUP(A18,'[1]15_EOFFICE'!B:K,9,0)</f>
        <v>58.57</v>
      </c>
      <c r="Q18" s="8">
        <f>VLOOKUP(A18,'[1]16_APOLIS'!B:K,10,0)</f>
        <v>76.470588235294116</v>
      </c>
      <c r="R18" s="8">
        <f>VLOOKUP(A18,'[1]17_DRONE_FLYING'!B:J,9,0)</f>
        <v>20</v>
      </c>
      <c r="S18" s="8">
        <f>VLOOKUP(A18,'[1]18_112_TABS'!B:H,6,0)</f>
        <v>100</v>
      </c>
      <c r="T18" s="8">
        <f>VLOOKUP(A18,'[1]19_DIAL100_RES'!B:H,6,0)</f>
        <v>50</v>
      </c>
      <c r="U18" s="8">
        <f>VLOOKUP(A18,'[1]20_CCTV_360'!B:S,17,0)</f>
        <v>14.285714285714285</v>
      </c>
      <c r="V18" s="8">
        <f>VLOOKUP(A18,'[1]21_NEWS360AI'!B:D,2,0)</f>
        <v>0</v>
      </c>
      <c r="W18" s="8">
        <f>VLOOKUP(A18,'[1]22_eFSL'!B:F,4,0)</f>
        <v>0</v>
      </c>
      <c r="X18" s="8">
        <f>VLOOKUP(A18,'[1]23_UC3'!B:D,2,0)</f>
        <v>0</v>
      </c>
      <c r="Y18" s="8">
        <f>VLOOKUP(A18,'[1]23_UC4'!B:D,3,0)</f>
        <v>0</v>
      </c>
    </row>
    <row r="19" spans="1:25" s="9" customFormat="1" ht="25.9" customHeight="1" x14ac:dyDescent="0.25">
      <c r="A19" s="7" t="s">
        <v>42</v>
      </c>
      <c r="B19" s="8">
        <f>VLOOKUP(A19,'[1]1_MEDLEAPR_PME'!B:H,6,0)</f>
        <v>100</v>
      </c>
      <c r="C19" s="8">
        <f>VLOOKUP(A19,'[1]2_MEDLEAPR_MLC'!B:I,6,0)</f>
        <v>100</v>
      </c>
      <c r="D19" s="8">
        <f>VLOOKUP(A19,'[1]3_NATGRID'!B:H,6,0)</f>
        <v>0</v>
      </c>
      <c r="E19" s="8">
        <f>VLOOKUP(A19,'[1]4_DGP_DASH'!B:E,3,0)</f>
        <v>100</v>
      </c>
      <c r="F19" s="8">
        <f>VLOOKUP(A19,'[1]5_CCTNS_TILL'!B:P,13,0)</f>
        <v>77.62</v>
      </c>
      <c r="G19" s="8">
        <f>VLOOKUP(A19,'[1]6_CCTNS_1_7'!B:P,13,0)</f>
        <v>91.59</v>
      </c>
      <c r="H19" s="8">
        <f>VLOOKUP(A19,'[1]7_CCTNS_8_15'!B$2:M52,11,0)</f>
        <v>100</v>
      </c>
      <c r="I19" s="8">
        <f>VLOOKUP(A19,'[1]8_ZERO_FIRS'!B:H,6,0)</f>
        <v>100</v>
      </c>
      <c r="J19" s="8">
        <f>VLOOKUP(A19,'[1]9_CITIZEN_PORTAL'!B:H,6,0)</f>
        <v>99.425287356321846</v>
      </c>
      <c r="K19" s="8">
        <f>VLOOKUP(A19,'[1]10_ESAKSHYA'!B:L,6,0)</f>
        <v>58.418829209414604</v>
      </c>
      <c r="L19" s="8">
        <f>VLOOKUP(A19,'[1]11_CRIMAC'!B:F,4,0)</f>
        <v>100</v>
      </c>
      <c r="M19" s="8">
        <f>VLOOKUP(A19,'[1]12_CEIR'!B:L,10,0)</f>
        <v>43.789237668161434</v>
      </c>
      <c r="N19" s="8">
        <f>VLOOKUP(A19,'[1]13_EPROSEC'!B:H,4,0)</f>
        <v>100</v>
      </c>
      <c r="O19" s="8">
        <f>VLOOKUP(A19,'[1]14_FIR_CS_COURT'!B:L,11,0)</f>
        <v>77.571767069588674</v>
      </c>
      <c r="P19" s="8">
        <f>VLOOKUP(A19,'[1]15_EOFFICE'!B:K,9,0)</f>
        <v>0</v>
      </c>
      <c r="Q19" s="8">
        <f>VLOOKUP(A19,'[1]16_APOLIS'!B:K,10,0)</f>
        <v>81.818181818181813</v>
      </c>
      <c r="R19" s="8">
        <f>VLOOKUP(A19,'[1]17_DRONE_FLYING'!B:J,9,0)</f>
        <v>75</v>
      </c>
      <c r="S19" s="8">
        <f>VLOOKUP(A19,'[1]18_112_TABS'!B:H,6,0)</f>
        <v>100</v>
      </c>
      <c r="T19" s="8">
        <f>VLOOKUP(A19,'[1]19_DIAL100_RES'!B:H,6,0)</f>
        <v>68.934240362811792</v>
      </c>
      <c r="U19" s="8">
        <f>VLOOKUP(A19,'[1]20_CCTV_360'!B:S,17,0)</f>
        <v>64.285714285714292</v>
      </c>
      <c r="V19" s="8">
        <f>VLOOKUP(A19,'[1]21_NEWS360AI'!B:D,2,0)</f>
        <v>0</v>
      </c>
      <c r="W19" s="8">
        <f>VLOOKUP(A19,'[1]22_eFSL'!B:F,4,0)</f>
        <v>100</v>
      </c>
      <c r="X19" s="8">
        <f>VLOOKUP(A19,'[1]23_UC3'!B:D,2,0)</f>
        <v>0</v>
      </c>
      <c r="Y19" s="8">
        <f>VLOOKUP(A19,'[1]23_UC4'!B:D,3,0)</f>
        <v>0</v>
      </c>
    </row>
    <row r="20" spans="1:25" s="9" customFormat="1" ht="25.9" customHeight="1" x14ac:dyDescent="0.25">
      <c r="A20" s="7" t="s">
        <v>43</v>
      </c>
      <c r="B20" s="8">
        <f>VLOOKUP(A20,'[1]1_MEDLEAPR_PME'!B:H,6,0)</f>
        <v>100</v>
      </c>
      <c r="C20" s="8" t="str">
        <f>VLOOKUP(A20,'[1]2_MEDLEAPR_MLC'!B:I,6,0)</f>
        <v>100.00</v>
      </c>
      <c r="D20" s="8">
        <f>VLOOKUP(A20,'[1]3_NATGRID'!B:H,6,0)</f>
        <v>0</v>
      </c>
      <c r="E20" s="8">
        <f>VLOOKUP(A20,'[1]4_DGP_DASH'!B:E,3,0)</f>
        <v>100</v>
      </c>
      <c r="F20" s="8">
        <f>VLOOKUP(A20,'[1]5_CCTNS_TILL'!B:P,13,0)</f>
        <v>77.41</v>
      </c>
      <c r="G20" s="8">
        <f>VLOOKUP(A20,'[1]6_CCTNS_1_7'!B:P,13,0)</f>
        <v>100</v>
      </c>
      <c r="H20" s="8">
        <f>VLOOKUP(A20,'[1]7_CCTNS_8_15'!B$2:M53,11,0)</f>
        <v>0</v>
      </c>
      <c r="I20" s="8">
        <f>VLOOKUP(A20,'[1]8_ZERO_FIRS'!B:H,6,0)</f>
        <v>100</v>
      </c>
      <c r="J20" s="8">
        <f>VLOOKUP(A20,'[1]9_CITIZEN_PORTAL'!B:H,6,0)</f>
        <v>100</v>
      </c>
      <c r="K20" s="8">
        <f>VLOOKUP(A20,'[1]10_ESAKSHYA'!B:L,6,0)</f>
        <v>45.555555555555557</v>
      </c>
      <c r="L20" s="8">
        <f>VLOOKUP(A20,'[1]11_CRIMAC'!B:F,4,0)</f>
        <v>100</v>
      </c>
      <c r="M20" s="8">
        <f>VLOOKUP(A20,'[1]12_CEIR'!B:L,10,0)</f>
        <v>41.746987951807228</v>
      </c>
      <c r="N20" s="8">
        <f>VLOOKUP(A20,'[1]13_EPROSEC'!B:H,4,0)</f>
        <v>100</v>
      </c>
      <c r="O20" s="8">
        <f>VLOOKUP(A20,'[1]14_FIR_CS_COURT'!B:L,11,0)</f>
        <v>94.607793178420977</v>
      </c>
      <c r="P20" s="8">
        <f>VLOOKUP(A20,'[1]15_EOFFICE'!B:K,9,0)</f>
        <v>61.43</v>
      </c>
      <c r="Q20" s="8">
        <f>VLOOKUP(A20,'[1]16_APOLIS'!B:K,10,0)</f>
        <v>65.833333333333329</v>
      </c>
      <c r="R20" s="8">
        <f>VLOOKUP(A20,'[1]17_DRONE_FLYING'!B:J,9,0)</f>
        <v>20</v>
      </c>
      <c r="S20" s="8">
        <f>VLOOKUP(A20,'[1]18_112_TABS'!B:H,6,0)</f>
        <v>100</v>
      </c>
      <c r="T20" s="8">
        <f>VLOOKUP(A20,'[1]19_DIAL100_RES'!B:H,6,0)</f>
        <v>77.32426303854875</v>
      </c>
      <c r="U20" s="8">
        <f>VLOOKUP(A20,'[1]20_CCTV_360'!B:S,17,0)</f>
        <v>42.857142857142854</v>
      </c>
      <c r="V20" s="8">
        <f>VLOOKUP(A20,'[1]21_NEWS360AI'!B:D,2,0)</f>
        <v>0</v>
      </c>
      <c r="W20" s="8">
        <f>VLOOKUP(A20,'[1]22_eFSL'!B:F,4,0)</f>
        <v>0</v>
      </c>
      <c r="X20" s="8">
        <f>VLOOKUP(A20,'[1]23_UC3'!B:D,2,0)</f>
        <v>0</v>
      </c>
      <c r="Y20" s="8">
        <f>VLOOKUP(A20,'[1]23_UC4'!B:D,3,0)</f>
        <v>0</v>
      </c>
    </row>
    <row r="21" spans="1:25" s="9" customFormat="1" ht="25.9" customHeight="1" x14ac:dyDescent="0.25">
      <c r="A21" s="7" t="s">
        <v>44</v>
      </c>
      <c r="B21" s="8" t="str">
        <f>VLOOKUP(A21,'[1]1_MEDLEAPR_PME'!B:H,6,0)</f>
        <v>100.00</v>
      </c>
      <c r="C21" s="8" t="str">
        <f>VLOOKUP(A21,'[1]2_MEDLEAPR_MLC'!B:I,6,0)</f>
        <v>100.00</v>
      </c>
      <c r="D21" s="8">
        <f>VLOOKUP(A21,'[1]3_NATGRID'!B:H,6,0)</f>
        <v>0</v>
      </c>
      <c r="E21" s="8">
        <f>VLOOKUP(A21,'[1]4_DGP_DASH'!B:E,3,0)</f>
        <v>100</v>
      </c>
      <c r="F21" s="8">
        <f>VLOOKUP(A21,'[1]5_CCTNS_TILL'!B:P,13,0)</f>
        <v>53.17</v>
      </c>
      <c r="G21" s="8">
        <f>VLOOKUP(A21,'[1]6_CCTNS_1_7'!B:P,13,0)</f>
        <v>50</v>
      </c>
      <c r="H21" s="8">
        <f>VLOOKUP(A21,'[1]7_CCTNS_8_15'!B$2:M54,11,0)</f>
        <v>100</v>
      </c>
      <c r="I21" s="8">
        <f>VLOOKUP(A21,'[1]8_ZERO_FIRS'!B:H,6,0)</f>
        <v>100</v>
      </c>
      <c r="J21" s="8">
        <f>VLOOKUP(A21,'[1]9_CITIZEN_PORTAL'!B:H,6,0)</f>
        <v>100</v>
      </c>
      <c r="K21" s="8">
        <f>VLOOKUP(A21,'[1]10_ESAKSHYA'!B:L,6,0)</f>
        <v>84.615384615384613</v>
      </c>
      <c r="L21" s="8">
        <f>VLOOKUP(A21,'[1]11_CRIMAC'!B:F,4,0)</f>
        <v>100</v>
      </c>
      <c r="M21" s="8">
        <f>VLOOKUP(A21,'[1]12_CEIR'!B:L,10,0)</f>
        <v>40.645161290322584</v>
      </c>
      <c r="N21" s="8">
        <f>VLOOKUP(A21,'[1]13_EPROSEC'!B:H,4,0)</f>
        <v>100</v>
      </c>
      <c r="O21" s="8">
        <f>VLOOKUP(A21,'[1]14_FIR_CS_COURT'!B:L,11,0)</f>
        <v>97.356168939142009</v>
      </c>
      <c r="P21" s="8">
        <f>VLOOKUP(A21,'[1]15_EOFFICE'!B:K,9,0)</f>
        <v>54.76</v>
      </c>
      <c r="Q21" s="8">
        <f>VLOOKUP(A21,'[1]16_APOLIS'!B:K,10,0)</f>
        <v>77.5</v>
      </c>
      <c r="R21" s="8">
        <f>VLOOKUP(A21,'[1]17_DRONE_FLYING'!B:J,9,0)</f>
        <v>20</v>
      </c>
      <c r="S21" s="8">
        <f>VLOOKUP(A21,'[1]18_112_TABS'!B:H,6,0)</f>
        <v>100</v>
      </c>
      <c r="T21" s="8">
        <f>VLOOKUP(A21,'[1]19_DIAL100_RES'!B:H,6,0)</f>
        <v>91.383219954648524</v>
      </c>
      <c r="U21" s="8">
        <f>VLOOKUP(A21,'[1]20_CCTV_360'!B:S,17,0)</f>
        <v>7.1428571428571423</v>
      </c>
      <c r="V21" s="8">
        <f>VLOOKUP(A21,'[1]21_NEWS360AI'!B:D,2,0)</f>
        <v>0</v>
      </c>
      <c r="W21" s="8">
        <f>VLOOKUP(A21,'[1]22_eFSL'!B:F,4,0)</f>
        <v>100</v>
      </c>
      <c r="X21" s="8">
        <f>VLOOKUP(A21,'[1]23_UC3'!B:D,2,0)</f>
        <v>0</v>
      </c>
      <c r="Y21" s="8">
        <f>VLOOKUP(A21,'[1]23_UC4'!B:D,3,0)</f>
        <v>0</v>
      </c>
    </row>
    <row r="22" spans="1:25" s="9" customFormat="1" ht="25.9" customHeight="1" x14ac:dyDescent="0.25">
      <c r="A22" s="7" t="s">
        <v>45</v>
      </c>
      <c r="B22" s="8">
        <f>VLOOKUP(A22,'[1]1_MEDLEAPR_PME'!B:H,6,0)</f>
        <v>100</v>
      </c>
      <c r="C22" s="8" t="str">
        <f>VLOOKUP(A22,'[1]2_MEDLEAPR_MLC'!B:I,6,0)</f>
        <v>100.00</v>
      </c>
      <c r="D22" s="8">
        <f>VLOOKUP(A22,'[1]3_NATGRID'!B:H,6,0)</f>
        <v>0</v>
      </c>
      <c r="E22" s="8">
        <f>VLOOKUP(A22,'[1]4_DGP_DASH'!B:E,3,0)</f>
        <v>100</v>
      </c>
      <c r="F22" s="8">
        <f>VLOOKUP(A22,'[1]5_CCTNS_TILL'!B:P,13,0)</f>
        <v>100</v>
      </c>
      <c r="G22" s="8">
        <f>VLOOKUP(A22,'[1]6_CCTNS_1_7'!B:P,13,0)</f>
        <v>0</v>
      </c>
      <c r="H22" s="8">
        <f>VLOOKUP(A22,'[1]7_CCTNS_8_15'!B$2:M55,11,0)</f>
        <v>100</v>
      </c>
      <c r="I22" s="8">
        <f>VLOOKUP(A22,'[1]8_ZERO_FIRS'!B:H,6,0)</f>
        <v>100</v>
      </c>
      <c r="J22" s="8">
        <f>VLOOKUP(A22,'[1]9_CITIZEN_PORTAL'!B:H,6,0)</f>
        <v>100</v>
      </c>
      <c r="K22" s="8">
        <f>VLOOKUP(A22,'[1]10_ESAKSHYA'!B:L,6,0)</f>
        <v>76.334519572953738</v>
      </c>
      <c r="L22" s="8">
        <f>VLOOKUP(A22,'[1]11_CRIMAC'!B:F,4,0)</f>
        <v>100</v>
      </c>
      <c r="M22" s="8">
        <f>VLOOKUP(A22,'[1]12_CEIR'!B:L,10,0)</f>
        <v>30.625000000000004</v>
      </c>
      <c r="N22" s="8">
        <f>VLOOKUP(A22,'[1]13_EPROSEC'!B:H,4,0)</f>
        <v>100</v>
      </c>
      <c r="O22" s="8">
        <f>VLOOKUP(A22,'[1]14_FIR_CS_COURT'!B:L,11,0)</f>
        <v>88.191461383361087</v>
      </c>
      <c r="P22" s="8">
        <f>VLOOKUP(A22,'[1]15_EOFFICE'!B:K,9,0)</f>
        <v>54.76</v>
      </c>
      <c r="Q22" s="8">
        <f>VLOOKUP(A22,'[1]16_APOLIS'!B:K,10,0)</f>
        <v>78.333333333333343</v>
      </c>
      <c r="R22" s="8">
        <f>VLOOKUP(A22,'[1]17_DRONE_FLYING'!B:J,9,0)</f>
        <v>20</v>
      </c>
      <c r="S22" s="8">
        <f>VLOOKUP(A22,'[1]18_112_TABS'!B:H,6,0)</f>
        <v>100</v>
      </c>
      <c r="T22" s="8">
        <f>VLOOKUP(A22,'[1]19_DIAL100_RES'!B:H,6,0)</f>
        <v>92.063492063492063</v>
      </c>
      <c r="U22" s="8">
        <f>VLOOKUP(A22,'[1]20_CCTV_360'!B:S,17,0)</f>
        <v>21.428571428571427</v>
      </c>
      <c r="V22" s="8">
        <f>VLOOKUP(A22,'[1]21_NEWS360AI'!B:D,2,0)</f>
        <v>0</v>
      </c>
      <c r="W22" s="8">
        <f>VLOOKUP(A22,'[1]22_eFSL'!B:F,4,0)</f>
        <v>0</v>
      </c>
      <c r="X22" s="8">
        <f>VLOOKUP(A22,'[1]23_UC3'!B:D,2,0)</f>
        <v>0</v>
      </c>
      <c r="Y22" s="8">
        <f>VLOOKUP(A22,'[1]23_UC4'!B:D,3,0)</f>
        <v>0</v>
      </c>
    </row>
    <row r="23" spans="1:25" s="9" customFormat="1" ht="25.9" customHeight="1" x14ac:dyDescent="0.25">
      <c r="A23" s="7" t="s">
        <v>46</v>
      </c>
      <c r="B23" s="8" t="str">
        <f>VLOOKUP(A23,'[1]1_MEDLEAPR_PME'!B:H,6,0)</f>
        <v>100.00</v>
      </c>
      <c r="C23" s="8">
        <f>VLOOKUP(A23,'[1]2_MEDLEAPR_MLC'!B:I,6,0)</f>
        <v>100</v>
      </c>
      <c r="D23" s="8">
        <f>VLOOKUP(A23,'[1]3_NATGRID'!B:H,6,0)</f>
        <v>0</v>
      </c>
      <c r="E23" s="8">
        <f>VLOOKUP(A23,'[1]4_DGP_DASH'!B:E,3,0)</f>
        <v>100</v>
      </c>
      <c r="F23" s="8">
        <f>VLOOKUP(A23,'[1]5_CCTNS_TILL'!B:P,13,0)</f>
        <v>60.16</v>
      </c>
      <c r="G23" s="8">
        <f>VLOOKUP(A23,'[1]6_CCTNS_1_7'!B:P,13,0)</f>
        <v>0</v>
      </c>
      <c r="H23" s="8">
        <f>VLOOKUP(A23,'[1]7_CCTNS_8_15'!B$2:M56,11,0)</f>
        <v>0</v>
      </c>
      <c r="I23" s="8">
        <f>VLOOKUP(A23,'[1]8_ZERO_FIRS'!B:H,6,0)</f>
        <v>100</v>
      </c>
      <c r="J23" s="8">
        <f>VLOOKUP(A23,'[1]9_CITIZEN_PORTAL'!B:H,6,0)</f>
        <v>100</v>
      </c>
      <c r="K23" s="8">
        <f>VLOOKUP(A23,'[1]10_ESAKSHYA'!B:L,6,0)</f>
        <v>50.141643059490086</v>
      </c>
      <c r="L23" s="8">
        <f>VLOOKUP(A23,'[1]11_CRIMAC'!B:F,4,0)</f>
        <v>100</v>
      </c>
      <c r="M23" s="8">
        <f>VLOOKUP(A23,'[1]12_CEIR'!B:L,10,0)</f>
        <v>73.5</v>
      </c>
      <c r="N23" s="8">
        <f>VLOOKUP(A23,'[1]13_EPROSEC'!B:H,4,0)</f>
        <v>50</v>
      </c>
      <c r="O23" s="8">
        <f>VLOOKUP(A23,'[1]14_FIR_CS_COURT'!B:L,11,0)</f>
        <v>92.278989667049359</v>
      </c>
      <c r="P23" s="8">
        <f>VLOOKUP(A23,'[1]15_EOFFICE'!B:K,9,0)</f>
        <v>61.905000000000001</v>
      </c>
      <c r="Q23" s="8">
        <f>VLOOKUP(A23,'[1]16_APOLIS'!B:K,10,0)</f>
        <v>77.777777777777771</v>
      </c>
      <c r="R23" s="8">
        <f>VLOOKUP(A23,'[1]17_DRONE_FLYING'!B:J,9,0)</f>
        <v>20</v>
      </c>
      <c r="S23" s="8">
        <f>VLOOKUP(A23,'[1]18_112_TABS'!B:H,6,0)</f>
        <v>100</v>
      </c>
      <c r="T23" s="8">
        <f>VLOOKUP(A23,'[1]19_DIAL100_RES'!B:H,6,0)</f>
        <v>69.841269841269849</v>
      </c>
      <c r="U23" s="8">
        <f>VLOOKUP(A23,'[1]20_CCTV_360'!B:S,17,0)</f>
        <v>7.1428571428571423</v>
      </c>
      <c r="V23" s="8">
        <f>VLOOKUP(A23,'[1]21_NEWS360AI'!B:D,2,0)</f>
        <v>0</v>
      </c>
      <c r="W23" s="8">
        <f>VLOOKUP(A23,'[1]22_eFSL'!B:F,4,0)</f>
        <v>100</v>
      </c>
      <c r="X23" s="8">
        <f>VLOOKUP(A23,'[1]23_UC3'!B:D,2,0)</f>
        <v>0</v>
      </c>
      <c r="Y23" s="8">
        <f>VLOOKUP(A23,'[1]23_UC4'!B:D,3,0)</f>
        <v>0</v>
      </c>
    </row>
    <row r="24" spans="1:25" s="9" customFormat="1" ht="25.9" customHeight="1" x14ac:dyDescent="0.25">
      <c r="A24" s="7" t="s">
        <v>47</v>
      </c>
      <c r="B24" s="8" t="str">
        <f>VLOOKUP(A24,'[1]1_MEDLEAPR_PME'!B:H,6,0)</f>
        <v>100.00</v>
      </c>
      <c r="C24" s="8">
        <f>VLOOKUP(A24,'[1]2_MEDLEAPR_MLC'!B:I,6,0)</f>
        <v>100</v>
      </c>
      <c r="D24" s="8">
        <f>VLOOKUP(A24,'[1]3_NATGRID'!B:H,6,0)</f>
        <v>0</v>
      </c>
      <c r="E24" s="8">
        <f>VLOOKUP(A24,'[1]4_DGP_DASH'!B:E,3,0)</f>
        <v>100</v>
      </c>
      <c r="F24" s="8">
        <f>VLOOKUP(A24,'[1]5_CCTNS_TILL'!B:P,13,0)</f>
        <v>100</v>
      </c>
      <c r="G24" s="8">
        <f>VLOOKUP(A24,'[1]6_CCTNS_1_7'!B:P,13,0)</f>
        <v>100</v>
      </c>
      <c r="H24" s="8">
        <f>VLOOKUP(A24,'[1]7_CCTNS_8_15'!B$2:M57,11,0)</f>
        <v>0</v>
      </c>
      <c r="I24" s="8">
        <f>VLOOKUP(A24,'[1]8_ZERO_FIRS'!B:H,6,0)</f>
        <v>100</v>
      </c>
      <c r="J24" s="8">
        <f>VLOOKUP(A24,'[1]9_CITIZEN_PORTAL'!B:H,6,0)</f>
        <v>100</v>
      </c>
      <c r="K24" s="8">
        <f>VLOOKUP(A24,'[1]10_ESAKSHYA'!B:L,6,0)</f>
        <v>89.763779527559052</v>
      </c>
      <c r="L24" s="8">
        <f>VLOOKUP(A24,'[1]11_CRIMAC'!B:F,4,0)</f>
        <v>100</v>
      </c>
      <c r="M24" s="8">
        <f>VLOOKUP(A24,'[1]12_CEIR'!B:L,10,0)</f>
        <v>68.793103448275858</v>
      </c>
      <c r="N24" s="8">
        <f>VLOOKUP(A24,'[1]13_EPROSEC'!B:H,4,0)</f>
        <v>100</v>
      </c>
      <c r="O24" s="8">
        <f>VLOOKUP(A24,'[1]14_FIR_CS_COURT'!B:L,11,0)</f>
        <v>88.548598507763657</v>
      </c>
      <c r="P24" s="8">
        <f>VLOOKUP(A24,'[1]15_EOFFICE'!B:K,9,0)</f>
        <v>0</v>
      </c>
      <c r="Q24" s="8">
        <f>VLOOKUP(A24,'[1]16_APOLIS'!B:K,10,0)</f>
        <v>83.333333333333343</v>
      </c>
      <c r="R24" s="8">
        <f>VLOOKUP(A24,'[1]17_DRONE_FLYING'!B:J,9,0)</f>
        <v>20</v>
      </c>
      <c r="S24" s="8">
        <f>VLOOKUP(A24,'[1]18_112_TABS'!B:H,6,0)</f>
        <v>100</v>
      </c>
      <c r="T24" s="8">
        <f>VLOOKUP(A24,'[1]19_DIAL100_RES'!B:H,6,0)</f>
        <v>55.55555555555555</v>
      </c>
      <c r="U24" s="8">
        <f>VLOOKUP(A24,'[1]20_CCTV_360'!B:S,17,0)</f>
        <v>7.1428571428571423</v>
      </c>
      <c r="V24" s="8">
        <f>VLOOKUP(A24,'[1]21_NEWS360AI'!B:D,2,0)</f>
        <v>0</v>
      </c>
      <c r="W24" s="8">
        <f>VLOOKUP(A24,'[1]22_eFSL'!B:F,4,0)</f>
        <v>0</v>
      </c>
      <c r="X24" s="8">
        <f>VLOOKUP(A24,'[1]23_UC3'!B:D,2,0)</f>
        <v>0</v>
      </c>
      <c r="Y24" s="8">
        <f>VLOOKUP(A24,'[1]23_UC4'!B:D,3,0)</f>
        <v>0</v>
      </c>
    </row>
    <row r="25" spans="1:25" s="9" customFormat="1" ht="25.9" customHeight="1" x14ac:dyDescent="0.25">
      <c r="A25" s="7" t="s">
        <v>48</v>
      </c>
      <c r="B25" s="8" t="str">
        <f>VLOOKUP(A25,'[1]1_MEDLEAPR_PME'!B:H,6,0)</f>
        <v>100.00</v>
      </c>
      <c r="C25" s="8">
        <f>VLOOKUP(A25,'[1]2_MEDLEAPR_MLC'!B:I,6,0)</f>
        <v>100</v>
      </c>
      <c r="D25" s="8">
        <f>VLOOKUP(A25,'[1]3_NATGRID'!B:H,6,0)</f>
        <v>0</v>
      </c>
      <c r="E25" s="8">
        <f>VLOOKUP(A25,'[1]4_DGP_DASH'!B:E,3,0)</f>
        <v>100</v>
      </c>
      <c r="F25" s="8">
        <f>VLOOKUP(A25,'[1]5_CCTNS_TILL'!B:P,13,0)</f>
        <v>75.38</v>
      </c>
      <c r="G25" s="8">
        <f>VLOOKUP(A25,'[1]6_CCTNS_1_7'!B:P,13,0)</f>
        <v>100</v>
      </c>
      <c r="H25" s="8">
        <f>VLOOKUP(A25,'[1]7_CCTNS_8_15'!B$2:M58,11,0)</f>
        <v>0</v>
      </c>
      <c r="I25" s="8">
        <f>VLOOKUP(A25,'[1]8_ZERO_FIRS'!B:H,6,0)</f>
        <v>100</v>
      </c>
      <c r="J25" s="8">
        <f>VLOOKUP(A25,'[1]9_CITIZEN_PORTAL'!B:H,6,0)</f>
        <v>100</v>
      </c>
      <c r="K25" s="8">
        <f>VLOOKUP(A25,'[1]10_ESAKSHYA'!B:L,6,0)</f>
        <v>82.997118155619603</v>
      </c>
      <c r="L25" s="8">
        <f>VLOOKUP(A25,'[1]11_CRIMAC'!B:F,4,0)</f>
        <v>100</v>
      </c>
      <c r="M25" s="8">
        <f>VLOOKUP(A25,'[1]12_CEIR'!B:L,10,0)</f>
        <v>34.186046511627907</v>
      </c>
      <c r="N25" s="8">
        <f>VLOOKUP(A25,'[1]13_EPROSEC'!B:H,4,0)</f>
        <v>0</v>
      </c>
      <c r="O25" s="8">
        <f>VLOOKUP(A25,'[1]14_FIR_CS_COURT'!B:L,11,0)</f>
        <v>97.463768115942031</v>
      </c>
      <c r="P25" s="8">
        <f>VLOOKUP(A25,'[1]15_EOFFICE'!B:K,9,0)</f>
        <v>52.38</v>
      </c>
      <c r="Q25" s="8">
        <f>VLOOKUP(A25,'[1]16_APOLIS'!B:K,10,0)</f>
        <v>78.84615384615384</v>
      </c>
      <c r="R25" s="8">
        <f>VLOOKUP(A25,'[1]17_DRONE_FLYING'!B:J,9,0)</f>
        <v>20</v>
      </c>
      <c r="S25" s="8">
        <f>VLOOKUP(A25,'[1]18_112_TABS'!B:H,6,0)</f>
        <v>100</v>
      </c>
      <c r="T25" s="8">
        <f>VLOOKUP(A25,'[1]19_DIAL100_RES'!B:H,6,0)</f>
        <v>34.467120181405903</v>
      </c>
      <c r="U25" s="8">
        <f>VLOOKUP(A25,'[1]20_CCTV_360'!B:S,17,0)</f>
        <v>7.1428571428571423</v>
      </c>
      <c r="V25" s="8">
        <f>VLOOKUP(A25,'[1]21_NEWS360AI'!B:D,2,0)</f>
        <v>0</v>
      </c>
      <c r="W25" s="8">
        <f>VLOOKUP(A25,'[1]22_eFSL'!B:F,4,0)</f>
        <v>100</v>
      </c>
      <c r="X25" s="8">
        <f>VLOOKUP(A25,'[1]23_UC3'!B:D,2,0)</f>
        <v>0</v>
      </c>
      <c r="Y25" s="8">
        <f>VLOOKUP(A25,'[1]23_UC4'!B:D,3,0)</f>
        <v>0</v>
      </c>
    </row>
    <row r="26" spans="1:25" s="9" customFormat="1" ht="25.9" customHeight="1" x14ac:dyDescent="0.25">
      <c r="A26" s="7" t="s">
        <v>49</v>
      </c>
      <c r="B26" s="8">
        <f>VLOOKUP(A26,'[1]1_MEDLEAPR_PME'!B:H,6,0)</f>
        <v>100</v>
      </c>
      <c r="C26" s="8" t="str">
        <f>VLOOKUP(A26,'[1]2_MEDLEAPR_MLC'!B:I,6,0)</f>
        <v>100.00</v>
      </c>
      <c r="D26" s="8">
        <f>VLOOKUP(A26,'[1]3_NATGRID'!B:H,6,0)</f>
        <v>0</v>
      </c>
      <c r="E26" s="8">
        <f>VLOOKUP(A26,'[1]4_DGP_DASH'!B:E,3,0)</f>
        <v>100</v>
      </c>
      <c r="F26" s="8">
        <f>VLOOKUP(A26,'[1]5_CCTNS_TILL'!B:P,13,0)</f>
        <v>84.72</v>
      </c>
      <c r="G26" s="8">
        <f>VLOOKUP(A26,'[1]6_CCTNS_1_7'!B:P,13,0)</f>
        <v>100</v>
      </c>
      <c r="H26" s="8">
        <f>VLOOKUP(A26,'[1]7_CCTNS_8_15'!B$2:M59,11,0)</f>
        <v>0</v>
      </c>
      <c r="I26" s="8">
        <f>VLOOKUP(A26,'[1]8_ZERO_FIRS'!B:H,6,0)</f>
        <v>100</v>
      </c>
      <c r="J26" s="8">
        <f>VLOOKUP(A26,'[1]9_CITIZEN_PORTAL'!B:H,6,0)</f>
        <v>100</v>
      </c>
      <c r="K26" s="8">
        <f>VLOOKUP(A26,'[1]10_ESAKSHYA'!B:L,6,0)</f>
        <v>67.438271604938265</v>
      </c>
      <c r="L26" s="8">
        <f>VLOOKUP(A26,'[1]11_CRIMAC'!B:F,4,0)</f>
        <v>100</v>
      </c>
      <c r="M26" s="8">
        <f>VLOOKUP(A26,'[1]12_CEIR'!B:L,10,0)</f>
        <v>50.909090909090907</v>
      </c>
      <c r="N26" s="8">
        <f>VLOOKUP(A26,'[1]13_EPROSEC'!B:H,4,0)</f>
        <v>0</v>
      </c>
      <c r="O26" s="8">
        <f>VLOOKUP(A26,'[1]14_FIR_CS_COURT'!B:L,11,0)</f>
        <v>87.549820812539778</v>
      </c>
      <c r="P26" s="8">
        <f>VLOOKUP(A26,'[1]15_EOFFICE'!B:K,9,0)</f>
        <v>0</v>
      </c>
      <c r="Q26" s="8">
        <f>VLOOKUP(A26,'[1]16_APOLIS'!B:K,10,0)</f>
        <v>60.714285714285715</v>
      </c>
      <c r="R26" s="8">
        <f>VLOOKUP(A26,'[1]17_DRONE_FLYING'!B:J,9,0)</f>
        <v>20</v>
      </c>
      <c r="S26" s="8">
        <f>VLOOKUP(A26,'[1]18_112_TABS'!B:H,6,0)</f>
        <v>100</v>
      </c>
      <c r="T26" s="8">
        <f>VLOOKUP(A26,'[1]19_DIAL100_RES'!B:H,6,0)</f>
        <v>78.458049886621311</v>
      </c>
      <c r="U26" s="8">
        <f>VLOOKUP(A26,'[1]20_CCTV_360'!B:S,17,0)</f>
        <v>7.1428571428571423</v>
      </c>
      <c r="V26" s="8">
        <f>VLOOKUP(A26,'[1]21_NEWS360AI'!B:D,2,0)</f>
        <v>0</v>
      </c>
      <c r="W26" s="8">
        <f>VLOOKUP(A26,'[1]22_eFSL'!B:F,4,0)</f>
        <v>100</v>
      </c>
      <c r="X26" s="8">
        <f>VLOOKUP(A26,'[1]23_UC3'!B:D,2,0)</f>
        <v>0</v>
      </c>
      <c r="Y26" s="8">
        <f>VLOOKUP(A26,'[1]23_UC4'!B:D,3,0)</f>
        <v>0</v>
      </c>
    </row>
    <row r="27" spans="1:25" s="9" customFormat="1" ht="25.9" customHeight="1" x14ac:dyDescent="0.25">
      <c r="A27" s="7" t="s">
        <v>50</v>
      </c>
      <c r="B27" s="8" t="str">
        <f>VLOOKUP(A27,'[1]1_MEDLEAPR_PME'!B:H,6,0)</f>
        <v>100.00</v>
      </c>
      <c r="C27" s="8" t="str">
        <f>VLOOKUP(A27,'[1]2_MEDLEAPR_MLC'!B:I,6,0)</f>
        <v>100.00</v>
      </c>
      <c r="D27" s="8">
        <f>VLOOKUP(A27,'[1]3_NATGRID'!B:H,6,0)</f>
        <v>0</v>
      </c>
      <c r="E27" s="8">
        <f>VLOOKUP(A27,'[1]4_DGP_DASH'!B:E,3,0)</f>
        <v>100</v>
      </c>
      <c r="F27" s="8">
        <f>VLOOKUP(A27,'[1]5_CCTNS_TILL'!B:P,13,0)</f>
        <v>100</v>
      </c>
      <c r="G27" s="8">
        <f>VLOOKUP(A27,'[1]6_CCTNS_1_7'!B:P,13,0)</f>
        <v>50</v>
      </c>
      <c r="H27" s="8">
        <f>VLOOKUP(A27,'[1]7_CCTNS_8_15'!B$2:M60,11,0)</f>
        <v>0</v>
      </c>
      <c r="I27" s="8">
        <f>VLOOKUP(A27,'[1]8_ZERO_FIRS'!B:H,6,0)</f>
        <v>100</v>
      </c>
      <c r="J27" s="8">
        <f>VLOOKUP(A27,'[1]9_CITIZEN_PORTAL'!B:H,6,0)</f>
        <v>92.307692307692307</v>
      </c>
      <c r="K27" s="8">
        <f>VLOOKUP(A27,'[1]10_ESAKSHYA'!B:L,6,0)</f>
        <v>48.434237995824631</v>
      </c>
      <c r="L27" s="8">
        <f>VLOOKUP(A27,'[1]11_CRIMAC'!B:F,4,0)</f>
        <v>100</v>
      </c>
      <c r="M27" s="8">
        <f>VLOOKUP(A27,'[1]12_CEIR'!B:L,10,0)</f>
        <v>90</v>
      </c>
      <c r="N27" s="8">
        <f>VLOOKUP(A27,'[1]13_EPROSEC'!B:H,4,0)</f>
        <v>100</v>
      </c>
      <c r="O27" s="8">
        <f>VLOOKUP(A27,'[1]14_FIR_CS_COURT'!B:L,11,0)</f>
        <v>89.736160349059176</v>
      </c>
      <c r="P27" s="8">
        <f>VLOOKUP(A27,'[1]15_EOFFICE'!B:K,9,0)</f>
        <v>52.854999999999997</v>
      </c>
      <c r="Q27" s="8">
        <f>VLOOKUP(A27,'[1]16_APOLIS'!B:K,10,0)</f>
        <v>87.878787878787875</v>
      </c>
      <c r="R27" s="8">
        <f>VLOOKUP(A27,'[1]17_DRONE_FLYING'!B:J,9,0)</f>
        <v>20</v>
      </c>
      <c r="S27" s="8">
        <f>VLOOKUP(A27,'[1]18_112_TABS'!B:H,6,0)</f>
        <v>100</v>
      </c>
      <c r="T27" s="8">
        <f>VLOOKUP(A27,'[1]19_DIAL100_RES'!B:H,6,0)</f>
        <v>54.648526077097507</v>
      </c>
      <c r="U27" s="8">
        <f>VLOOKUP(A27,'[1]20_CCTV_360'!B:S,17,0)</f>
        <v>14.285714285714285</v>
      </c>
      <c r="V27" s="8">
        <f>VLOOKUP(A27,'[1]21_NEWS360AI'!B:D,2,0)</f>
        <v>0</v>
      </c>
      <c r="W27" s="8">
        <f>VLOOKUP(A27,'[1]22_eFSL'!B:F,4,0)</f>
        <v>100</v>
      </c>
      <c r="X27" s="8">
        <f>VLOOKUP(A27,'[1]23_UC3'!B:D,2,0)</f>
        <v>0</v>
      </c>
      <c r="Y27" s="8">
        <f>VLOOKUP(A27,'[1]23_UC4'!B:D,3,0)</f>
        <v>0</v>
      </c>
    </row>
    <row r="28" spans="1:25" s="9" customFormat="1" ht="25.9" customHeight="1" x14ac:dyDescent="0.25">
      <c r="A28" s="7" t="s">
        <v>51</v>
      </c>
      <c r="B28" s="8" t="str">
        <f>VLOOKUP(A28,'[1]1_MEDLEAPR_PME'!B:H,6,0)</f>
        <v>100.00</v>
      </c>
      <c r="C28" s="8" t="str">
        <f>VLOOKUP(A28,'[1]2_MEDLEAPR_MLC'!B:I,6,0)</f>
        <v>100.00</v>
      </c>
      <c r="D28" s="8">
        <f>VLOOKUP(A28,'[1]3_NATGRID'!B:H,6,0)</f>
        <v>0</v>
      </c>
      <c r="E28" s="8">
        <f>VLOOKUP(A28,'[1]4_DGP_DASH'!B:E,3,0)</f>
        <v>100</v>
      </c>
      <c r="F28" s="8">
        <f>VLOOKUP(A28,'[1]5_CCTNS_TILL'!B:P,13,0)</f>
        <v>99.07</v>
      </c>
      <c r="G28" s="8">
        <f>VLOOKUP(A28,'[1]6_CCTNS_1_7'!B:P,13,0)</f>
        <v>100</v>
      </c>
      <c r="H28" s="8">
        <f>VLOOKUP(A28,'[1]7_CCTNS_8_15'!B$2:M61,11,0)</f>
        <v>0</v>
      </c>
      <c r="I28" s="8">
        <f>VLOOKUP(A28,'[1]8_ZERO_FIRS'!B:H,6,0)</f>
        <v>100</v>
      </c>
      <c r="J28" s="8">
        <f>VLOOKUP(A28,'[1]9_CITIZEN_PORTAL'!B:H,6,0)</f>
        <v>100</v>
      </c>
      <c r="K28" s="8">
        <f>VLOOKUP(A28,'[1]10_ESAKSHYA'!B:L,6,0)</f>
        <v>65.343511450381683</v>
      </c>
      <c r="L28" s="8">
        <f>VLOOKUP(A28,'[1]11_CRIMAC'!B:F,4,0)</f>
        <v>100</v>
      </c>
      <c r="M28" s="8">
        <f>VLOOKUP(A28,'[1]12_CEIR'!B:L,10,0)</f>
        <v>49.875</v>
      </c>
      <c r="N28" s="8">
        <f>VLOOKUP(A28,'[1]13_EPROSEC'!B:H,4,0)</f>
        <v>100</v>
      </c>
      <c r="O28" s="8">
        <f>VLOOKUP(A28,'[1]14_FIR_CS_COURT'!B:L,11,0)</f>
        <v>89.680789507522178</v>
      </c>
      <c r="P28" s="8">
        <f>VLOOKUP(A28,'[1]15_EOFFICE'!B:K,9,0)</f>
        <v>0</v>
      </c>
      <c r="Q28" s="8">
        <f>VLOOKUP(A28,'[1]16_APOLIS'!B:K,10,0)</f>
        <v>65.625</v>
      </c>
      <c r="R28" s="8">
        <f>VLOOKUP(A28,'[1]17_DRONE_FLYING'!B:J,9,0)</f>
        <v>20</v>
      </c>
      <c r="S28" s="8">
        <f>VLOOKUP(A28,'[1]18_112_TABS'!B:H,6,0)</f>
        <v>100</v>
      </c>
      <c r="T28" s="8">
        <f>VLOOKUP(A28,'[1]19_DIAL100_RES'!B:H,6,0)</f>
        <v>63.945578231292515</v>
      </c>
      <c r="U28" s="8">
        <f>VLOOKUP(A28,'[1]20_CCTV_360'!B:S,17,0)</f>
        <v>21.428571428571427</v>
      </c>
      <c r="V28" s="8">
        <f>VLOOKUP(A28,'[1]21_NEWS360AI'!B:D,2,0)</f>
        <v>0</v>
      </c>
      <c r="W28" s="8">
        <f>VLOOKUP(A28,'[1]22_eFSL'!B:F,4,0)</f>
        <v>0</v>
      </c>
      <c r="X28" s="8">
        <f>VLOOKUP(A28,'[1]23_UC3'!B:D,2,0)</f>
        <v>0</v>
      </c>
      <c r="Y28" s="8">
        <f>VLOOKUP(A28,'[1]23_UC4'!B:D,3,0)</f>
        <v>0</v>
      </c>
    </row>
    <row r="29" spans="1:25" s="9" customFormat="1" ht="25.9" customHeight="1" x14ac:dyDescent="0.25">
      <c r="A29" s="7" t="s">
        <v>52</v>
      </c>
      <c r="B29" s="8">
        <f>VLOOKUP(A29,'[1]1_MEDLEAPR_PME'!B:H,6,0)</f>
        <v>100</v>
      </c>
      <c r="C29" s="8" t="str">
        <f>VLOOKUP(A29,'[1]2_MEDLEAPR_MLC'!B:I,6,0)</f>
        <v>100.00</v>
      </c>
      <c r="D29" s="8">
        <f>VLOOKUP(A29,'[1]3_NATGRID'!B:H,6,0)</f>
        <v>0</v>
      </c>
      <c r="E29" s="8">
        <f>VLOOKUP(A29,'[1]4_DGP_DASH'!B:E,3,0)</f>
        <v>100</v>
      </c>
      <c r="F29" s="8">
        <f>VLOOKUP(A29,'[1]5_CCTNS_TILL'!B:P,13,0)</f>
        <v>100</v>
      </c>
      <c r="G29" s="8">
        <f>VLOOKUP(A29,'[1]6_CCTNS_1_7'!B:P,13,0)</f>
        <v>73.459999999999994</v>
      </c>
      <c r="H29" s="8">
        <f>VLOOKUP(A29,'[1]7_CCTNS_8_15'!B$2:M62,11,0)</f>
        <v>0</v>
      </c>
      <c r="I29" s="8">
        <f>VLOOKUP(A29,'[1]8_ZERO_FIRS'!B:H,6,0)</f>
        <v>100</v>
      </c>
      <c r="J29" s="8">
        <f>VLOOKUP(A29,'[1]9_CITIZEN_PORTAL'!B:H,6,0)</f>
        <v>100</v>
      </c>
      <c r="K29" s="8">
        <f>VLOOKUP(A29,'[1]10_ESAKSHYA'!B:L,6,0)</f>
        <v>65.352112676056336</v>
      </c>
      <c r="L29" s="8">
        <f>VLOOKUP(A29,'[1]11_CRIMAC'!B:F,4,0)</f>
        <v>100</v>
      </c>
      <c r="M29" s="8">
        <f>VLOOKUP(A29,'[1]12_CEIR'!B:L,10,0)</f>
        <v>58.636363636363633</v>
      </c>
      <c r="N29" s="8">
        <f>VLOOKUP(A29,'[1]13_EPROSEC'!B:H,4,0)</f>
        <v>100</v>
      </c>
      <c r="O29" s="8">
        <f>VLOOKUP(A29,'[1]14_FIR_CS_COURT'!B:L,11,0)</f>
        <v>88.172625496569168</v>
      </c>
      <c r="P29" s="8">
        <f>VLOOKUP(A29,'[1]15_EOFFICE'!B:K,9,0)</f>
        <v>1.43</v>
      </c>
      <c r="Q29" s="8">
        <f>VLOOKUP(A29,'[1]16_APOLIS'!B:K,10,0)</f>
        <v>77.5</v>
      </c>
      <c r="R29" s="8">
        <f>VLOOKUP(A29,'[1]17_DRONE_FLYING'!B:J,9,0)</f>
        <v>20</v>
      </c>
      <c r="S29" s="8">
        <f>VLOOKUP(A29,'[1]18_112_TABS'!B:H,6,0)</f>
        <v>100</v>
      </c>
      <c r="T29" s="8">
        <f>VLOOKUP(A29,'[1]19_DIAL100_RES'!B:H,6,0)</f>
        <v>61.904761904761898</v>
      </c>
      <c r="U29" s="8">
        <f>VLOOKUP(A29,'[1]20_CCTV_360'!B:S,17,0)</f>
        <v>14.285714285714285</v>
      </c>
      <c r="V29" s="8">
        <f>VLOOKUP(A29,'[1]21_NEWS360AI'!B:D,2,0)</f>
        <v>0</v>
      </c>
      <c r="W29" s="8">
        <f>VLOOKUP(A29,'[1]22_eFSL'!B:F,4,0)</f>
        <v>100</v>
      </c>
      <c r="X29" s="8">
        <f>VLOOKUP(A29,'[1]23_UC3'!B:D,2,0)</f>
        <v>0</v>
      </c>
      <c r="Y29" s="8">
        <f>VLOOKUP(A29,'[1]23_UC4'!B:D,3,0)</f>
        <v>0</v>
      </c>
    </row>
    <row r="30" spans="1:25" s="9" customFormat="1" ht="25.9" customHeight="1" x14ac:dyDescent="0.25">
      <c r="A30" s="7" t="s">
        <v>53</v>
      </c>
      <c r="B30" s="8" t="str">
        <f>VLOOKUP(A30,'[1]1_MEDLEAPR_PME'!B:H,6,0)</f>
        <v>100.00</v>
      </c>
      <c r="C30" s="8" t="str">
        <f>VLOOKUP(A30,'[1]2_MEDLEAPR_MLC'!B:I,6,0)</f>
        <v>100.00</v>
      </c>
      <c r="D30" s="8">
        <f>VLOOKUP(A30,'[1]3_NATGRID'!B:H,6,0)</f>
        <v>0</v>
      </c>
      <c r="E30" s="8">
        <f>VLOOKUP(A30,'[1]4_DGP_DASH'!B:E,3,0)</f>
        <v>100</v>
      </c>
      <c r="F30" s="8">
        <f>VLOOKUP(A30,'[1]5_CCTNS_TILL'!B:P,13,0)</f>
        <v>95.33</v>
      </c>
      <c r="G30" s="8">
        <f>VLOOKUP(A30,'[1]6_CCTNS_1_7'!B:P,13,0)</f>
        <v>93.49</v>
      </c>
      <c r="H30" s="8">
        <f>VLOOKUP(A30,'[1]7_CCTNS_8_15'!B$2:M63,11,0)</f>
        <v>0</v>
      </c>
      <c r="I30" s="8">
        <f>VLOOKUP(A30,'[1]8_ZERO_FIRS'!B:H,6,0)</f>
        <v>100</v>
      </c>
      <c r="J30" s="8">
        <f>VLOOKUP(A30,'[1]9_CITIZEN_PORTAL'!B:H,6,0)</f>
        <v>100</v>
      </c>
      <c r="K30" s="8">
        <f>VLOOKUP(A30,'[1]10_ESAKSHYA'!B:L,6,0)</f>
        <v>67.562724014336922</v>
      </c>
      <c r="L30" s="8">
        <f>VLOOKUP(A30,'[1]11_CRIMAC'!B:F,4,0)</f>
        <v>100</v>
      </c>
      <c r="M30" s="8">
        <f>VLOOKUP(A30,'[1]12_CEIR'!B:L,10,0)</f>
        <v>48.35526315789474</v>
      </c>
      <c r="N30" s="8">
        <f>VLOOKUP(A30,'[1]13_EPROSEC'!B:H,4,0)</f>
        <v>100</v>
      </c>
      <c r="O30" s="8">
        <f>VLOOKUP(A30,'[1]14_FIR_CS_COURT'!B:L,11,0)</f>
        <v>59.186744274052586</v>
      </c>
      <c r="P30" s="8">
        <f>VLOOKUP(A30,'[1]15_EOFFICE'!B:K,9,0)</f>
        <v>54.76</v>
      </c>
      <c r="Q30" s="8">
        <f>VLOOKUP(A30,'[1]16_APOLIS'!B:K,10,0)</f>
        <v>50</v>
      </c>
      <c r="R30" s="8">
        <f>VLOOKUP(A30,'[1]17_DRONE_FLYING'!B:J,9,0)</f>
        <v>20</v>
      </c>
      <c r="S30" s="8">
        <f>VLOOKUP(A30,'[1]18_112_TABS'!B:H,6,0)</f>
        <v>100</v>
      </c>
      <c r="T30" s="8">
        <f>VLOOKUP(A30,'[1]19_DIAL100_RES'!B:H,6,0)</f>
        <v>64.399092970521536</v>
      </c>
      <c r="U30" s="8">
        <f>VLOOKUP(A30,'[1]20_CCTV_360'!B:S,17,0)</f>
        <v>50</v>
      </c>
      <c r="V30" s="8">
        <f>VLOOKUP(A30,'[1]21_NEWS360AI'!B:D,2,0)</f>
        <v>0</v>
      </c>
      <c r="W30" s="8">
        <f>VLOOKUP(A30,'[1]22_eFSL'!B:F,4,0)</f>
        <v>100</v>
      </c>
      <c r="X30" s="8">
        <f>VLOOKUP(A30,'[1]23_UC3'!B:D,2,0)</f>
        <v>0</v>
      </c>
      <c r="Y30" s="8">
        <f>VLOOKUP(A30,'[1]23_UC4'!B:D,3,0)</f>
        <v>0</v>
      </c>
    </row>
    <row r="31" spans="1:25" s="9" customFormat="1" ht="25.9" customHeight="1" x14ac:dyDescent="0.25">
      <c r="A31" s="7" t="s">
        <v>54</v>
      </c>
      <c r="B31" s="8">
        <f>VLOOKUP(A31,'[1]1_MEDLEAPR_PME'!B:H,6,0)</f>
        <v>100</v>
      </c>
      <c r="C31" s="8" t="str">
        <f>VLOOKUP(A31,'[1]2_MEDLEAPR_MLC'!B:I,6,0)</f>
        <v>100.00</v>
      </c>
      <c r="D31" s="8">
        <f>VLOOKUP(A31,'[1]3_NATGRID'!B:H,6,0)</f>
        <v>0</v>
      </c>
      <c r="E31" s="8">
        <f>VLOOKUP(A31,'[1]4_DGP_DASH'!B:E,3,0)</f>
        <v>100</v>
      </c>
      <c r="F31" s="8">
        <f>VLOOKUP(A31,'[1]5_CCTNS_TILL'!B:P,13,0)</f>
        <v>99.77</v>
      </c>
      <c r="G31" s="8">
        <f>VLOOKUP(A31,'[1]6_CCTNS_1_7'!B:P,13,0)</f>
        <v>100</v>
      </c>
      <c r="H31" s="8">
        <f>VLOOKUP(A31,'[1]7_CCTNS_8_15'!B$2:M64,11,0)</f>
        <v>0</v>
      </c>
      <c r="I31" s="8">
        <f>VLOOKUP(A31,'[1]8_ZERO_FIRS'!B:H,6,0)</f>
        <v>100</v>
      </c>
      <c r="J31" s="8">
        <f>VLOOKUP(A31,'[1]9_CITIZEN_PORTAL'!B:H,6,0)</f>
        <v>100</v>
      </c>
      <c r="K31" s="8">
        <f>VLOOKUP(A31,'[1]10_ESAKSHYA'!B:L,6,0)</f>
        <v>89.90384615384616</v>
      </c>
      <c r="L31" s="8">
        <f>VLOOKUP(A31,'[1]11_CRIMAC'!B:F,4,0)</f>
        <v>100</v>
      </c>
      <c r="M31" s="8">
        <f>VLOOKUP(A31,'[1]12_CEIR'!B:L,10,0)</f>
        <v>60</v>
      </c>
      <c r="N31" s="8">
        <f>VLOOKUP(A31,'[1]13_EPROSEC'!B:H,4,0)</f>
        <v>100</v>
      </c>
      <c r="O31" s="8">
        <f>VLOOKUP(A31,'[1]14_FIR_CS_COURT'!B:L,11,0)</f>
        <v>85.046082949308754</v>
      </c>
      <c r="P31" s="8">
        <f>VLOOKUP(A31,'[1]15_EOFFICE'!B:K,9,0)</f>
        <v>0</v>
      </c>
      <c r="Q31" s="8">
        <f>VLOOKUP(A31,'[1]16_APOLIS'!B:K,10,0)</f>
        <v>73.68421052631578</v>
      </c>
      <c r="R31" s="8">
        <f>VLOOKUP(A31,'[1]17_DRONE_FLYING'!B:J,9,0)</f>
        <v>20</v>
      </c>
      <c r="S31" s="8">
        <f>VLOOKUP(A31,'[1]18_112_TABS'!B:H,6,0)</f>
        <v>100</v>
      </c>
      <c r="T31" s="8">
        <f>VLOOKUP(A31,'[1]19_DIAL100_RES'!B:H,6,0)</f>
        <v>69.16099773242631</v>
      </c>
      <c r="U31" s="8">
        <f>VLOOKUP(A31,'[1]20_CCTV_360'!B:S,17,0)</f>
        <v>7.1428571428571423</v>
      </c>
      <c r="V31" s="8">
        <f>VLOOKUP(A31,'[1]21_NEWS360AI'!B:D,2,0)</f>
        <v>0</v>
      </c>
      <c r="W31" s="8">
        <f>VLOOKUP(A31,'[1]22_eFSL'!B:F,4,0)</f>
        <v>0</v>
      </c>
      <c r="X31" s="8">
        <f>VLOOKUP(A31,'[1]23_UC3'!B:D,2,0)</f>
        <v>0</v>
      </c>
      <c r="Y31" s="8">
        <f>VLOOKUP(A31,'[1]23_UC4'!B:D,3,0)</f>
        <v>0</v>
      </c>
    </row>
    <row r="32" spans="1:25" s="9" customFormat="1" ht="25.9" customHeight="1" x14ac:dyDescent="0.25">
      <c r="A32" s="7" t="s">
        <v>55</v>
      </c>
      <c r="B32" s="8">
        <f>VLOOKUP(A32,'[1]1_MEDLEAPR_PME'!B:H,6,0)</f>
        <v>100</v>
      </c>
      <c r="C32" s="8">
        <f>VLOOKUP(A32,'[1]2_MEDLEAPR_MLC'!B:I,6,0)</f>
        <v>100</v>
      </c>
      <c r="D32" s="8">
        <f>VLOOKUP(A32,'[1]3_NATGRID'!B:H,6,0)</f>
        <v>0</v>
      </c>
      <c r="E32" s="8">
        <f>VLOOKUP(A32,'[1]4_DGP_DASH'!B:E,3,0)</f>
        <v>100</v>
      </c>
      <c r="F32" s="8">
        <f>VLOOKUP(A32,'[1]5_CCTNS_TILL'!B:P,13,0)</f>
        <v>100</v>
      </c>
      <c r="G32" s="8">
        <f>VLOOKUP(A32,'[1]6_CCTNS_1_7'!B:P,13,0)</f>
        <v>17.809999999999999</v>
      </c>
      <c r="H32" s="8">
        <f>VLOOKUP(A32,'[1]7_CCTNS_8_15'!B$2:M65,11,0)</f>
        <v>0</v>
      </c>
      <c r="I32" s="8">
        <f>VLOOKUP(A32,'[1]8_ZERO_FIRS'!B:H,6,0)</f>
        <v>100</v>
      </c>
      <c r="J32" s="8">
        <f>VLOOKUP(A32,'[1]9_CITIZEN_PORTAL'!B:H,6,0)</f>
        <v>96.666666666666671</v>
      </c>
      <c r="K32" s="8">
        <f>VLOOKUP(A32,'[1]10_ESAKSHYA'!B:L,6,0)</f>
        <v>75.903614457831324</v>
      </c>
      <c r="L32" s="8">
        <f>VLOOKUP(A32,'[1]11_CRIMAC'!B:F,4,0)</f>
        <v>100</v>
      </c>
      <c r="M32" s="8">
        <f>VLOOKUP(A32,'[1]12_CEIR'!B:L,10,0)</f>
        <v>52.933884297520663</v>
      </c>
      <c r="N32" s="8">
        <f>VLOOKUP(A32,'[1]13_EPROSEC'!B:H,4,0)</f>
        <v>100</v>
      </c>
      <c r="O32" s="8">
        <f>VLOOKUP(A32,'[1]14_FIR_CS_COURT'!B:L,11,0)</f>
        <v>87.235975222711062</v>
      </c>
      <c r="P32" s="8">
        <f>VLOOKUP(A32,'[1]15_EOFFICE'!B:K,9,0)</f>
        <v>0</v>
      </c>
      <c r="Q32" s="8">
        <f>VLOOKUP(A32,'[1]16_APOLIS'!B:K,10,0)</f>
        <v>79.310344827586221</v>
      </c>
      <c r="R32" s="8">
        <f>VLOOKUP(A32,'[1]17_DRONE_FLYING'!B:J,9,0)</f>
        <v>37</v>
      </c>
      <c r="S32" s="8">
        <f>VLOOKUP(A32,'[1]18_112_TABS'!B:H,6,0)</f>
        <v>100</v>
      </c>
      <c r="T32" s="8">
        <f>VLOOKUP(A32,'[1]19_DIAL100_RES'!B:H,6,0)</f>
        <v>0</v>
      </c>
      <c r="U32" s="8">
        <f>VLOOKUP(A32,'[1]20_CCTV_360'!B:S,17,0)</f>
        <v>0</v>
      </c>
      <c r="V32" s="8">
        <f>VLOOKUP(A32,'[1]21_NEWS360AI'!B:D,2,0)</f>
        <v>0</v>
      </c>
      <c r="W32" s="8">
        <f>VLOOKUP(A32,'[1]22_eFSL'!B:F,4,0)</f>
        <v>100</v>
      </c>
      <c r="X32" s="8">
        <f>VLOOKUP(A32,'[1]23_UC3'!B:D,2,0)</f>
        <v>0</v>
      </c>
      <c r="Y32" s="8">
        <f>VLOOKUP(A32,'[1]23_UC4'!B:D,3,0)</f>
        <v>0</v>
      </c>
    </row>
    <row r="33" spans="1:25" s="9" customFormat="1" ht="25.9" customHeight="1" x14ac:dyDescent="0.25">
      <c r="A33" s="7" t="s">
        <v>56</v>
      </c>
      <c r="B33" s="8" t="str">
        <f>VLOOKUP(A33,'[1]1_MEDLEAPR_PME'!B:H,6,0)</f>
        <v>100.00</v>
      </c>
      <c r="C33" s="8" t="str">
        <f>VLOOKUP(A33,'[1]2_MEDLEAPR_MLC'!B:I,6,0)</f>
        <v>100.00</v>
      </c>
      <c r="D33" s="8">
        <f>VLOOKUP(A33,'[1]3_NATGRID'!B:H,6,0)</f>
        <v>0</v>
      </c>
      <c r="E33" s="8">
        <f>VLOOKUP(A33,'[1]4_DGP_DASH'!B:E,3,0)</f>
        <v>100</v>
      </c>
      <c r="F33" s="8">
        <f>VLOOKUP(A33,'[1]5_CCTNS_TILL'!B:P,13,0)</f>
        <v>92.91</v>
      </c>
      <c r="G33" s="8">
        <f>VLOOKUP(A33,'[1]6_CCTNS_1_7'!B:P,13,0)</f>
        <v>100</v>
      </c>
      <c r="H33" s="8">
        <f>VLOOKUP(A33,'[1]7_CCTNS_8_15'!B$2:M66,11,0)</f>
        <v>100</v>
      </c>
      <c r="I33" s="8">
        <f>VLOOKUP(A33,'[1]8_ZERO_FIRS'!B:H,6,0)</f>
        <v>100</v>
      </c>
      <c r="J33" s="8">
        <f>VLOOKUP(A33,'[1]9_CITIZEN_PORTAL'!B:H,6,0)</f>
        <v>100</v>
      </c>
      <c r="K33" s="8">
        <f>VLOOKUP(A33,'[1]10_ESAKSHYA'!B:L,6,0)</f>
        <v>91.050583657587552</v>
      </c>
      <c r="L33" s="8">
        <f>VLOOKUP(A33,'[1]11_CRIMAC'!B:F,4,0)</f>
        <v>100</v>
      </c>
      <c r="M33" s="8">
        <f>VLOOKUP(A33,'[1]12_CEIR'!B:L,10,0)</f>
        <v>61.630434782608702</v>
      </c>
      <c r="N33" s="8">
        <f>VLOOKUP(A33,'[1]13_EPROSEC'!B:H,4,0)</f>
        <v>100</v>
      </c>
      <c r="O33" s="8">
        <f>VLOOKUP(A33,'[1]14_FIR_CS_COURT'!B:L,11,0)</f>
        <v>49.545273379470274</v>
      </c>
      <c r="P33" s="8">
        <f>VLOOKUP(A33,'[1]15_EOFFICE'!B:K,9,0)</f>
        <v>0</v>
      </c>
      <c r="Q33" s="8">
        <f>VLOOKUP(A33,'[1]16_APOLIS'!B:K,10,0)</f>
        <v>53.571428571428577</v>
      </c>
      <c r="R33" s="8">
        <f>VLOOKUP(A33,'[1]17_DRONE_FLYING'!B:J,9,0)</f>
        <v>20</v>
      </c>
      <c r="S33" s="8">
        <f>VLOOKUP(A33,'[1]18_112_TABS'!B:H,6,0)</f>
        <v>100</v>
      </c>
      <c r="T33" s="8">
        <f>VLOOKUP(A33,'[1]19_DIAL100_RES'!B:H,6,0)</f>
        <v>53.51473922902494</v>
      </c>
      <c r="U33" s="8">
        <f>VLOOKUP(A33,'[1]20_CCTV_360'!B:S,17,0)</f>
        <v>7.1428571428571423</v>
      </c>
      <c r="V33" s="8">
        <f>VLOOKUP(A33,'[1]21_NEWS360AI'!B:D,2,0)</f>
        <v>0</v>
      </c>
      <c r="W33" s="8">
        <f>VLOOKUP(A33,'[1]22_eFSL'!B:F,4,0)</f>
        <v>100</v>
      </c>
      <c r="X33" s="8">
        <f>VLOOKUP(A33,'[1]23_UC3'!B:D,2,0)</f>
        <v>0</v>
      </c>
      <c r="Y33" s="8">
        <f>VLOOKUP(A33,'[1]23_UC4'!B:D,3,0)</f>
        <v>0</v>
      </c>
    </row>
    <row r="34" spans="1:25" s="9" customFormat="1" ht="25.9" customHeight="1" x14ac:dyDescent="0.25">
      <c r="A34" s="7" t="s">
        <v>57</v>
      </c>
      <c r="B34" s="8" t="str">
        <f>VLOOKUP(A34,'[1]1_MEDLEAPR_PME'!B:H,6,0)</f>
        <v>100.00</v>
      </c>
      <c r="C34" s="8">
        <f>VLOOKUP(A34,'[1]2_MEDLEAPR_MLC'!B:I,6,0)</f>
        <v>100</v>
      </c>
      <c r="D34" s="8">
        <f>VLOOKUP(A34,'[1]3_NATGRID'!B:H,6,0)</f>
        <v>0</v>
      </c>
      <c r="E34" s="8">
        <f>VLOOKUP(A34,'[1]4_DGP_DASH'!B:E,3,0)</f>
        <v>100</v>
      </c>
      <c r="F34" s="8">
        <f>VLOOKUP(A34,'[1]5_CCTNS_TILL'!B:P,13,0)</f>
        <v>89.81</v>
      </c>
      <c r="G34" s="8">
        <f>VLOOKUP(A34,'[1]6_CCTNS_1_7'!B:P,13,0)</f>
        <v>13.36</v>
      </c>
      <c r="H34" s="8">
        <f>VLOOKUP(A34,'[1]7_CCTNS_8_15'!B$2:M67,11,0)</f>
        <v>0</v>
      </c>
      <c r="I34" s="8">
        <f>VLOOKUP(A34,'[1]8_ZERO_FIRS'!B:H,6,0)</f>
        <v>100</v>
      </c>
      <c r="J34" s="8">
        <f>VLOOKUP(A34,'[1]9_CITIZEN_PORTAL'!B:H,6,0)</f>
        <v>100</v>
      </c>
      <c r="K34" s="8">
        <f>VLOOKUP(A34,'[1]10_ESAKSHYA'!B:L,6,0)</f>
        <v>91.198786039453722</v>
      </c>
      <c r="L34" s="8">
        <f>VLOOKUP(A34,'[1]11_CRIMAC'!B:F,4,0)</f>
        <v>100</v>
      </c>
      <c r="M34" s="8">
        <f>VLOOKUP(A34,'[1]12_CEIR'!B:L,10,0)</f>
        <v>47.142857142857146</v>
      </c>
      <c r="N34" s="8">
        <f>VLOOKUP(A34,'[1]13_EPROSEC'!B:H,4,0)</f>
        <v>100</v>
      </c>
      <c r="O34" s="8">
        <f>VLOOKUP(A34,'[1]14_FIR_CS_COURT'!B:L,11,0)</f>
        <v>81.039152193111562</v>
      </c>
      <c r="P34" s="8">
        <f>VLOOKUP(A34,'[1]15_EOFFICE'!B:K,9,0)</f>
        <v>0</v>
      </c>
      <c r="Q34" s="8">
        <f>VLOOKUP(A34,'[1]16_APOLIS'!B:K,10,0)</f>
        <v>82.692307692307693</v>
      </c>
      <c r="R34" s="8">
        <f>VLOOKUP(A34,'[1]17_DRONE_FLYING'!B:J,9,0)</f>
        <v>100</v>
      </c>
      <c r="S34" s="8">
        <f>VLOOKUP(A34,'[1]18_112_TABS'!B:H,6,0)</f>
        <v>100</v>
      </c>
      <c r="T34" s="8">
        <f>VLOOKUP(A34,'[1]19_DIAL100_RES'!B:H,6,0)</f>
        <v>74.829931972789112</v>
      </c>
      <c r="U34" s="8">
        <f>VLOOKUP(A34,'[1]20_CCTV_360'!B:S,17,0)</f>
        <v>14.285714285714285</v>
      </c>
      <c r="V34" s="8">
        <f>VLOOKUP(A34,'[1]21_NEWS360AI'!B:D,2,0)</f>
        <v>0</v>
      </c>
      <c r="W34" s="8">
        <f>VLOOKUP(A34,'[1]22_eFSL'!B:F,4,0)</f>
        <v>0</v>
      </c>
      <c r="X34" s="8">
        <f>VLOOKUP(A34,'[1]23_UC3'!B:D,2,0)</f>
        <v>0</v>
      </c>
      <c r="Y34" s="8">
        <f>VLOOKUP(A34,'[1]23_UC4'!B:D,3,0)</f>
        <v>0</v>
      </c>
    </row>
    <row r="35" spans="1:25" s="9" customFormat="1" ht="25.9" customHeight="1" x14ac:dyDescent="0.25">
      <c r="A35" s="7" t="s">
        <v>58</v>
      </c>
      <c r="B35" s="8">
        <f>VLOOKUP(A35,'[1]1_MEDLEAPR_PME'!B:H,6,0)</f>
        <v>100</v>
      </c>
      <c r="C35" s="8">
        <f>VLOOKUP(A35,'[1]2_MEDLEAPR_MLC'!B:I,6,0)</f>
        <v>100</v>
      </c>
      <c r="D35" s="8">
        <f>VLOOKUP(A35,'[1]3_NATGRID'!B:H,6,0)</f>
        <v>0</v>
      </c>
      <c r="E35" s="8">
        <f>VLOOKUP(A35,'[1]4_DGP_DASH'!B:E,3,0)</f>
        <v>100</v>
      </c>
      <c r="F35" s="8">
        <f>VLOOKUP(A35,'[1]5_CCTNS_TILL'!B:P,13,0)</f>
        <v>100</v>
      </c>
      <c r="G35" s="8">
        <f>VLOOKUP(A35,'[1]6_CCTNS_1_7'!B:P,13,0)</f>
        <v>100</v>
      </c>
      <c r="H35" s="8">
        <f>VLOOKUP(A35,'[1]7_CCTNS_8_15'!B$2:M68,11,0)</f>
        <v>0</v>
      </c>
      <c r="I35" s="8">
        <f>VLOOKUP(A35,'[1]8_ZERO_FIRS'!B:H,6,0)</f>
        <v>100</v>
      </c>
      <c r="J35" s="8">
        <f>VLOOKUP(A35,'[1]9_CITIZEN_PORTAL'!B:H,6,0)</f>
        <v>100</v>
      </c>
      <c r="K35" s="8">
        <f>VLOOKUP(A35,'[1]10_ESAKSHYA'!B:L,6,0)</f>
        <v>86.554621848739501</v>
      </c>
      <c r="L35" s="8">
        <f>VLOOKUP(A35,'[1]11_CRIMAC'!B:F,4,0)</f>
        <v>100</v>
      </c>
      <c r="M35" s="8">
        <f>VLOOKUP(A35,'[1]12_CEIR'!B:L,10,0)</f>
        <v>61.319999999999993</v>
      </c>
      <c r="N35" s="8">
        <f>VLOOKUP(A35,'[1]13_EPROSEC'!B:H,4,0)</f>
        <v>0</v>
      </c>
      <c r="O35" s="8">
        <f>VLOOKUP(A35,'[1]14_FIR_CS_COURT'!B:L,11,0)</f>
        <v>89.560006597152238</v>
      </c>
      <c r="P35" s="8">
        <f>VLOOKUP(A35,'[1]15_EOFFICE'!B:K,9,0)</f>
        <v>0</v>
      </c>
      <c r="Q35" s="8">
        <f>VLOOKUP(A35,'[1]16_APOLIS'!B:K,10,0)</f>
        <v>92.307692307692321</v>
      </c>
      <c r="R35" s="8">
        <f>VLOOKUP(A35,'[1]17_DRONE_FLYING'!B:J,9,0)</f>
        <v>20</v>
      </c>
      <c r="S35" s="8">
        <f>VLOOKUP(A35,'[1]18_112_TABS'!B:H,6,0)</f>
        <v>100</v>
      </c>
      <c r="T35" s="8">
        <f>VLOOKUP(A35,'[1]19_DIAL100_RES'!B:H,6,0)</f>
        <v>50</v>
      </c>
      <c r="U35" s="8">
        <f>VLOOKUP(A35,'[1]20_CCTV_360'!B:S,17,0)</f>
        <v>35.714285714285715</v>
      </c>
      <c r="V35" s="8">
        <f>VLOOKUP(A35,'[1]21_NEWS360AI'!B:D,2,0)</f>
        <v>0</v>
      </c>
      <c r="W35" s="8">
        <f>VLOOKUP(A35,'[1]22_eFSL'!B:F,4,0)</f>
        <v>0</v>
      </c>
      <c r="X35" s="8">
        <f>VLOOKUP(A35,'[1]23_UC3'!B:D,2,0)</f>
        <v>0</v>
      </c>
      <c r="Y35" s="8">
        <f>VLOOKUP(A35,'[1]23_UC4'!B:D,3,0)</f>
        <v>0</v>
      </c>
    </row>
    <row r="36" spans="1:25" x14ac:dyDescent="0.25">
      <c r="A36" s="7" t="s">
        <v>59</v>
      </c>
      <c r="B36" s="8" t="str">
        <f>VLOOKUP(A36,'[1]1_MEDLEAPR_PME'!B:H,6,0)</f>
        <v>100.00</v>
      </c>
      <c r="C36" s="8" t="str">
        <f>VLOOKUP(A36,'[1]2_MEDLEAPR_MLC'!B:I,6,0)</f>
        <v>100.00</v>
      </c>
      <c r="D36" s="8">
        <f>VLOOKUP(A36,'[1]3_NATGRID'!B:H,6,0)</f>
        <v>0</v>
      </c>
      <c r="E36" s="8">
        <f>VLOOKUP(A36,'[1]4_DGP_DASH'!B:E,3,0)</f>
        <v>100</v>
      </c>
      <c r="F36" s="8">
        <f>VLOOKUP(A36,'[1]5_CCTNS_TILL'!B:P,13,0)</f>
        <v>100</v>
      </c>
      <c r="G36" s="8">
        <f>VLOOKUP(A36,'[1]6_CCTNS_1_7'!B:P,13,0)</f>
        <v>50</v>
      </c>
      <c r="H36" s="8">
        <f>VLOOKUP(A36,'[1]7_CCTNS_8_15'!B$2:M69,11,0)</f>
        <v>0</v>
      </c>
      <c r="I36" s="8">
        <f>VLOOKUP(A36,'[1]8_ZERO_FIRS'!B:H,6,0)</f>
        <v>100</v>
      </c>
      <c r="J36" s="8">
        <f>VLOOKUP(A36,'[1]9_CITIZEN_PORTAL'!B:H,6,0)</f>
        <v>92.857142857142861</v>
      </c>
      <c r="K36" s="8">
        <f>VLOOKUP(A36,'[1]10_ESAKSHYA'!B:L,6,0)</f>
        <v>62.4</v>
      </c>
      <c r="L36" s="8">
        <f>VLOOKUP(A36,'[1]11_CRIMAC'!B:F,4,0)</f>
        <v>100</v>
      </c>
      <c r="M36" s="8">
        <f>IFERROR(VLOOKUP(A36,'[1]12_CEIR'!B:L,10,FALSE),0)</f>
        <v>0</v>
      </c>
      <c r="N36" s="8">
        <f>IFERROR(VLOOKUP(A36,'[1]13_EPROSEC'!B:H,4,FALSE),0)</f>
        <v>0</v>
      </c>
      <c r="O36" s="8">
        <f>VLOOKUP(A36,'[1]14_FIR_CS_COURT'!B:L,11,0)</f>
        <v>88.176323160843282</v>
      </c>
      <c r="P36" s="8">
        <f>VLOOKUP(A36,'[1]15_EOFFICE'!B:K,9,0)</f>
        <v>52.38</v>
      </c>
      <c r="Q36" s="8">
        <f>VLOOKUP(A36,'[1]16_APOLIS'!B:K,10,0)</f>
        <v>82.857142857142861</v>
      </c>
      <c r="R36" s="8">
        <f>VLOOKUP(A36,'[1]17_DRONE_FLYING'!B:J,9,0)</f>
        <v>20</v>
      </c>
      <c r="S36" s="8">
        <f>VLOOKUP(A36,'[1]18_112_TABS'!B:H,6,0)</f>
        <v>100</v>
      </c>
      <c r="T36" s="8">
        <f>VLOOKUP(A36,'[1]19_DIAL100_RES'!B:H,6,0)</f>
        <v>50</v>
      </c>
      <c r="U36" s="8">
        <f>VLOOKUP(A36,'[1]20_CCTV_360'!B:S,17,0)</f>
        <v>0</v>
      </c>
      <c r="V36" s="8">
        <f>VLOOKUP(A36,'[1]21_NEWS360AI'!B:D,2,0)</f>
        <v>0</v>
      </c>
      <c r="W36" s="8">
        <f>VLOOKUP(A36,'[1]22_eFSL'!B:F,4,0)</f>
        <v>100</v>
      </c>
      <c r="X36" s="8">
        <f>VLOOKUP(A36,'[1]23_UC3'!B:D,2,0)</f>
        <v>0</v>
      </c>
      <c r="Y36" s="8">
        <f>VLOOKUP(A36,'[1]23_UC4'!B:D,3,0)</f>
        <v>0</v>
      </c>
    </row>
  </sheetData>
  <pageMargins left="0.70866141732283472" right="0.70866141732283472" top="0.74803149606299213" bottom="0.74803149606299213" header="0.31496062992125984" footer="0.31496062992125984"/>
  <pageSetup paperSize="5" scale="91" fitToHeight="0" orientation="landscape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Nagaraj R.V</dc:creator>
  <cp:lastModifiedBy>Nagaraj R.V</cp:lastModifiedBy>
  <dcterms:created xsi:type="dcterms:W3CDTF">2026-09-23T13:38:27Z</dcterms:created>
  <dcterms:modified xsi:type="dcterms:W3CDTF">2026-09-23T13:38:43Z</dcterms:modified>
</cp:coreProperties>
</file>